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sched_9376\Utils\"/>
    </mc:Choice>
  </mc:AlternateContent>
  <xr:revisionPtr revIDLastSave="0" documentId="13_ncr:1_{123E411B-D711-495C-9FC8-A871BD26E02C}" xr6:coauthVersionLast="41" xr6:coauthVersionMax="41" xr10:uidLastSave="{00000000-0000-0000-0000-000000000000}"/>
  <bookViews>
    <workbookView xWindow="-120" yWindow="-120" windowWidth="29040" windowHeight="15840" tabRatio="744" xr2:uid="{2EEC2B91-F18A-4965-B9FF-6AB119EF82C0}"/>
  </bookViews>
  <sheets>
    <sheet name="Tablelist" sheetId="33" r:id="rId1"/>
    <sheet name="demand" sheetId="94" r:id="rId2"/>
    <sheet name="supply" sheetId="93" r:id="rId3"/>
    <sheet name="Help：Trim" sheetId="3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" i="33" l="1"/>
  <c r="A6" i="33"/>
  <c r="B2" i="94" l="1"/>
  <c r="B2" i="93"/>
  <c r="G5" i="33" l="1"/>
  <c r="H5" i="93" s="1"/>
  <c r="H5" i="94" l="1"/>
  <c r="H2" i="94"/>
  <c r="H3" i="93"/>
  <c r="H3" i="94"/>
  <c r="H2" i="93"/>
  <c r="B35" i="34"/>
  <c r="C35" i="34" s="1"/>
  <c r="E35" i="34" s="1"/>
  <c r="B36" i="34"/>
  <c r="C36" i="34" s="1"/>
  <c r="E36" i="34" s="1"/>
  <c r="B37" i="34"/>
  <c r="C37" i="34" s="1"/>
  <c r="B38" i="34"/>
  <c r="C38" i="34" s="1"/>
  <c r="D38" i="34" s="1"/>
  <c r="B39" i="34"/>
  <c r="C39" i="34" s="1"/>
  <c r="D39" i="34" s="1"/>
  <c r="B40" i="34"/>
  <c r="C40" i="34" s="1"/>
  <c r="D40" i="34" s="1"/>
  <c r="B34" i="34"/>
  <c r="B1" i="34"/>
  <c r="B2" i="34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C34" i="34" l="1"/>
  <c r="E34" i="34" s="1"/>
  <c r="E37" i="34"/>
  <c r="D37" i="34"/>
  <c r="D36" i="34"/>
  <c r="D35" i="34"/>
  <c r="C1" i="34"/>
  <c r="C2" i="34"/>
  <c r="C3" i="34"/>
  <c r="D3" i="34" s="1"/>
  <c r="C4" i="34"/>
  <c r="C5" i="34"/>
  <c r="C6" i="34"/>
  <c r="C7" i="34"/>
  <c r="E7" i="34" s="1"/>
  <c r="C8" i="34"/>
  <c r="C9" i="34"/>
  <c r="D9" i="34" s="1"/>
  <c r="C10" i="34"/>
  <c r="C11" i="34"/>
  <c r="C12" i="34"/>
  <c r="C13" i="34"/>
  <c r="C15" i="34"/>
  <c r="E15" i="34" s="1"/>
  <c r="C17" i="34"/>
  <c r="E17" i="34" s="1"/>
  <c r="C19" i="34"/>
  <c r="E19" i="34" s="1"/>
  <c r="C21" i="34"/>
  <c r="D34" i="34" l="1"/>
  <c r="E21" i="34"/>
  <c r="E13" i="34"/>
  <c r="E9" i="34"/>
  <c r="E11" i="34"/>
  <c r="E5" i="34"/>
  <c r="C33" i="34"/>
  <c r="E33" i="34" s="1"/>
  <c r="C32" i="34"/>
  <c r="D32" i="34" s="1"/>
  <c r="C27" i="34"/>
  <c r="E27" i="34" s="1"/>
  <c r="C16" i="34"/>
  <c r="D16" i="34" s="1"/>
  <c r="C26" i="34"/>
  <c r="E26" i="34" s="1"/>
  <c r="C22" i="34"/>
  <c r="E22" i="34" s="1"/>
  <c r="C31" i="34"/>
  <c r="D31" i="34" s="1"/>
  <c r="C20" i="34"/>
  <c r="D20" i="34" s="1"/>
  <c r="C30" i="34"/>
  <c r="D30" i="34" s="1"/>
  <c r="C25" i="34"/>
  <c r="E25" i="34" s="1"/>
  <c r="C14" i="34"/>
  <c r="D14" i="34" s="1"/>
  <c r="E3" i="34"/>
  <c r="C24" i="34"/>
  <c r="D24" i="34" s="1"/>
  <c r="C29" i="34"/>
  <c r="E29" i="34" s="1"/>
  <c r="C18" i="34"/>
  <c r="D18" i="34" s="1"/>
  <c r="C28" i="34"/>
  <c r="D28" i="34" s="1"/>
  <c r="C23" i="34"/>
  <c r="E23" i="34" s="1"/>
  <c r="E12" i="34"/>
  <c r="E8" i="34"/>
  <c r="E2" i="34"/>
  <c r="D12" i="34"/>
  <c r="D10" i="34"/>
  <c r="D8" i="34"/>
  <c r="D6" i="34"/>
  <c r="D4" i="34"/>
  <c r="D2" i="34"/>
  <c r="E10" i="34"/>
  <c r="E6" i="34"/>
  <c r="E4" i="34"/>
  <c r="E1" i="34"/>
  <c r="D1" i="34"/>
  <c r="D21" i="34"/>
  <c r="D19" i="34"/>
  <c r="D17" i="34"/>
  <c r="D15" i="34"/>
  <c r="D13" i="34"/>
  <c r="D11" i="34"/>
  <c r="D7" i="34"/>
  <c r="D5" i="34"/>
  <c r="E24" i="34" l="1"/>
  <c r="D33" i="34"/>
  <c r="D29" i="34"/>
  <c r="D25" i="34"/>
  <c r="D26" i="34"/>
  <c r="D27" i="34"/>
  <c r="E30" i="34"/>
  <c r="D23" i="34"/>
  <c r="D22" i="34"/>
  <c r="E16" i="34"/>
  <c r="E20" i="34"/>
  <c r="E18" i="34"/>
  <c r="E14" i="34"/>
  <c r="E31" i="34"/>
  <c r="E32" i="34"/>
  <c r="E28" i="34"/>
  <c r="G7" i="33" l="1"/>
  <c r="H75" i="94" l="1"/>
  <c r="H67" i="93"/>
</calcChain>
</file>

<file path=xl/sharedStrings.xml><?xml version="1.0" encoding="utf-8"?>
<sst xmlns="http://schemas.openxmlformats.org/spreadsheetml/2006/main" count="483" uniqueCount="349">
  <si>
    <t>Table</t>
  </si>
  <si>
    <t>Column</t>
  </si>
  <si>
    <t>Database</t>
  </si>
  <si>
    <t>External/Internal</t>
  </si>
  <si>
    <t>location</t>
  </si>
  <si>
    <t>)</t>
  </si>
  <si>
    <t>Type</t>
  </si>
  <si>
    <t>table prefix</t>
  </si>
  <si>
    <t>external</t>
  </si>
  <si>
    <t>Partition</t>
  </si>
  <si>
    <t xml:space="preserve">ROW FORMAT DELIMITED FIELDS TERMINATED BY '\t'  </t>
  </si>
  <si>
    <t>STORED AS ORC</t>
  </si>
  <si>
    <t>TBLPROPERTIES('orc.compress'='SNAPPY');</t>
  </si>
  <si>
    <t>No</t>
  </si>
  <si>
    <t>DDL Setup</t>
  </si>
  <si>
    <t>Table List</t>
  </si>
  <si>
    <t>Env</t>
  </si>
  <si>
    <t>PRE-PRD</t>
  </si>
  <si>
    <t>Insight</t>
  </si>
  <si>
    <t>INT</t>
  </si>
  <si>
    <t>PRD</t>
  </si>
  <si>
    <t>DBPrefix</t>
  </si>
  <si>
    <t>Raw</t>
  </si>
  <si>
    <t>Staging</t>
  </si>
  <si>
    <t>Zone</t>
  </si>
  <si>
    <t>staging_</t>
  </si>
  <si>
    <t>insight_</t>
  </si>
  <si>
    <t>DB Prefix</t>
  </si>
  <si>
    <t>LocationPrefix</t>
  </si>
  <si>
    <t>raw</t>
  </si>
  <si>
    <t>staging</t>
  </si>
  <si>
    <t>insight</t>
  </si>
  <si>
    <t>LocationApp</t>
  </si>
  <si>
    <t>string</t>
  </si>
  <si>
    <t>int</t>
  </si>
  <si>
    <t>double</t>
  </si>
  <si>
    <t>myschdpp</t>
  </si>
  <si>
    <t>myhrschd</t>
  </si>
  <si>
    <t>demand</t>
  </si>
  <si>
    <t>index bigint,</t>
  </si>
  <si>
    <t>additional_role_info_1 string,</t>
  </si>
  <si>
    <t>additional_role_info_2 string,</t>
  </si>
  <si>
    <t>afe_path string,</t>
  </si>
  <si>
    <t>assigned_role string,</t>
  </si>
  <si>
    <t>assigned_role_priority int,</t>
  </si>
  <si>
    <t>assignment_id int,</t>
  </si>
  <si>
    <t>booked_resource_id int,</t>
  </si>
  <si>
    <t>career_track string,</t>
  </si>
  <si>
    <t>client_id int,</t>
  </si>
  <si>
    <t>client_tier string,</t>
  </si>
  <si>
    <t>ClientNm string,</t>
  </si>
  <si>
    <t>ProjectIndustry string,</t>
  </si>
  <si>
    <t>common_demand_id int,</t>
  </si>
  <si>
    <t>create_date timestamp,</t>
  </si>
  <si>
    <t>demand_close_date timestamp,</t>
  </si>
  <si>
    <t>demand_source string,</t>
  </si>
  <si>
    <t>demand_status string,</t>
  </si>
  <si>
    <t>demandtype string,</t>
  </si>
  <si>
    <t>expected_fulfillment_date timestamp,</t>
  </si>
  <si>
    <t>fulfillment_entity_l1 string,</t>
  </si>
  <si>
    <t>lcrto double,</t>
  </si>
  <si>
    <t>lcrfrom double,</t>
  </si>
  <si>
    <t>level_priority int,</t>
  </si>
  <si>
    <t>location_preference string,</t>
  </si>
  <si>
    <t>location_preference_priority int,</t>
  </si>
  <si>
    <t>other_skill_priority int,</t>
  </si>
  <si>
    <t>primary_skill_priority int,</t>
  </si>
  <si>
    <t>project_country string,</t>
  </si>
  <si>
    <t>project_geographic_area string,</t>
  </si>
  <si>
    <t>project_geographic_unit string,</t>
  </si>
  <si>
    <t>project_id int,</t>
  </si>
  <si>
    <t>project_client string,</t>
  </si>
  <si>
    <t>project_metro_city string,</t>
  </si>
  <si>
    <t>role_country string,</t>
  </si>
  <si>
    <t>role_description string,</t>
  </si>
  <si>
    <t>role_end_date timestamp,</t>
  </si>
  <si>
    <t>role_fill_start_date timestamp,</t>
  </si>
  <si>
    <t>role_filled_date timestamp,</t>
  </si>
  <si>
    <t>role_fulfillment_date timestamp,</t>
  </si>
  <si>
    <t>role_geographic_area string,</t>
  </si>
  <si>
    <t>role_geographic_unit string,</t>
  </si>
  <si>
    <t>role_is_sold string,</t>
  </si>
  <si>
    <t>role_level_from_detail string,</t>
  </si>
  <si>
    <t>role_level_to_detail string,</t>
  </si>
  <si>
    <t>role_level_to_group string,</t>
  </si>
  <si>
    <t>role_metro_city string,</t>
  </si>
  <si>
    <t>role_primary_skills string,</t>
  </si>
  <si>
    <t>role_priority string,</t>
  </si>
  <si>
    <t>role_region string,</t>
  </si>
  <si>
    <t>role_reopen_date timestamp,</t>
  </si>
  <si>
    <t>role_skills string,</t>
  </si>
  <si>
    <t>role_start_date timestamp,</t>
  </si>
  <si>
    <t>role_talent_segment string,</t>
  </si>
  <si>
    <t>role_work_location string,</t>
  </si>
  <si>
    <t>roletitle string,</t>
  </si>
  <si>
    <t>sold_flag string,</t>
  </si>
  <si>
    <t>specialty_id int,</t>
  </si>
  <si>
    <t>specialty_path string,</t>
  </si>
  <si>
    <t>specialty2_id int,</t>
  </si>
  <si>
    <t>specialty2_path string,</t>
  </si>
  <si>
    <t>specialty3_id int,</t>
  </si>
  <si>
    <t>specialty3_path string,</t>
  </si>
  <si>
    <t>isactive boolean</t>
  </si>
  <si>
    <t>table suffix</t>
  </si>
  <si>
    <t xml:space="preserve">ESCAPED BY '\\' </t>
  </si>
  <si>
    <t>LINES TERMINATED BY '\n'</t>
  </si>
  <si>
    <t>index</t>
  </si>
  <si>
    <t>Career_Track</t>
  </si>
  <si>
    <t>CertYr</t>
  </si>
  <si>
    <t>Chargeability</t>
  </si>
  <si>
    <t>City</t>
  </si>
  <si>
    <t>ClsMo</t>
  </si>
  <si>
    <t>ClsNm</t>
  </si>
  <si>
    <t>ClsVdr</t>
  </si>
  <si>
    <t>ClsYr</t>
  </si>
  <si>
    <t>Country</t>
  </si>
  <si>
    <t>ExpLongDescr</t>
  </si>
  <si>
    <t>First_Available_date</t>
  </si>
  <si>
    <t>AssessmentType1</t>
  </si>
  <si>
    <t>AssessmentType2</t>
  </si>
  <si>
    <t>AssessmentType3</t>
  </si>
  <si>
    <t>AssessmentType4</t>
  </si>
  <si>
    <t>AssessmentType5</t>
  </si>
  <si>
    <t>AssessmentType6</t>
  </si>
  <si>
    <t>AssessmentType7</t>
  </si>
  <si>
    <t>AssessmentType8</t>
  </si>
  <si>
    <t>Specialization1</t>
  </si>
  <si>
    <t>Specialization2</t>
  </si>
  <si>
    <t>Specialization3</t>
  </si>
  <si>
    <t>Specialization4</t>
  </si>
  <si>
    <t>Specialization5</t>
  </si>
  <si>
    <t>Specialization6</t>
  </si>
  <si>
    <t>Specialization7</t>
  </si>
  <si>
    <t>Specialization8</t>
  </si>
  <si>
    <t>GeographicUnit</t>
  </si>
  <si>
    <t>Individual_Deployed_to_Entity</t>
  </si>
  <si>
    <t>LCR</t>
  </si>
  <si>
    <t>Level</t>
  </si>
  <si>
    <t>Level_Group</t>
  </si>
  <si>
    <t>Location</t>
  </si>
  <si>
    <t>MAL</t>
  </si>
  <si>
    <t>MetroCity</t>
  </si>
  <si>
    <t>PrflKey</t>
  </si>
  <si>
    <t>PrflSumm</t>
  </si>
  <si>
    <t>EnterpriseId</t>
  </si>
  <si>
    <t>ProfKey</t>
  </si>
  <si>
    <t>ProfNm</t>
  </si>
  <si>
    <t>Qual</t>
  </si>
  <si>
    <t>Region</t>
  </si>
  <si>
    <t>Role</t>
  </si>
  <si>
    <t>Roll_off_date</t>
  </si>
  <si>
    <t>SkillNodeId</t>
  </si>
  <si>
    <t>Skl</t>
  </si>
  <si>
    <t>StrtMo</t>
  </si>
  <si>
    <t>StrtYr</t>
  </si>
  <si>
    <t>Talent_Segment</t>
  </si>
  <si>
    <t>Skills_Ontology</t>
  </si>
  <si>
    <t>Skills_Alias_List</t>
  </si>
  <si>
    <t>Proximity_Skills_List</t>
  </si>
  <si>
    <t>Skill_Heirarchy</t>
  </si>
  <si>
    <t>PeopleKey</t>
  </si>
  <si>
    <t>IsActive</t>
  </si>
  <si>
    <t>bigint</t>
  </si>
  <si>
    <t>timestamp</t>
  </si>
  <si>
    <t>boolean</t>
  </si>
  <si>
    <t>supply</t>
  </si>
  <si>
    <t xml:space="preserve">  index bigint,</t>
  </si>
  <si>
    <t xml:space="preserve">  Career_Track string,</t>
  </si>
  <si>
    <t xml:space="preserve">  CertYr int,</t>
  </si>
  <si>
    <t xml:space="preserve">  Chargeability double,</t>
  </si>
  <si>
    <t xml:space="preserve">  City string,</t>
  </si>
  <si>
    <t xml:space="preserve">  ClsMo int,</t>
  </si>
  <si>
    <t xml:space="preserve">  ClsNm string,</t>
  </si>
  <si>
    <t xml:space="preserve">  ClsVdr string,</t>
  </si>
  <si>
    <t xml:space="preserve">  ClsYr int,</t>
  </si>
  <si>
    <t xml:space="preserve">  Country string,</t>
  </si>
  <si>
    <t xml:space="preserve">  ExpLongDescr string,</t>
  </si>
  <si>
    <t xml:space="preserve">  First_Available_date timestamp,</t>
  </si>
  <si>
    <t xml:space="preserve">  AssessmentType1 string,</t>
  </si>
  <si>
    <t xml:space="preserve">  AssessmentType2 string,</t>
  </si>
  <si>
    <t xml:space="preserve">  AssessmentType3 string,</t>
  </si>
  <si>
    <t xml:space="preserve">  AssessmentType4 string,</t>
  </si>
  <si>
    <t xml:space="preserve">  AssessmentType5 string,</t>
  </si>
  <si>
    <t xml:space="preserve">  AssessmentType6 string,</t>
  </si>
  <si>
    <t xml:space="preserve">  AssessmentType7 string,</t>
  </si>
  <si>
    <t xml:space="preserve">  AssessmentType8 string,</t>
  </si>
  <si>
    <t xml:space="preserve">  Specialization1 string,</t>
  </si>
  <si>
    <t xml:space="preserve">  Specialization2 string,</t>
  </si>
  <si>
    <t xml:space="preserve">  Specialization3 string,</t>
  </si>
  <si>
    <t xml:space="preserve">  Specialization4 string,</t>
  </si>
  <si>
    <t xml:space="preserve">  Specialization5 string,</t>
  </si>
  <si>
    <t xml:space="preserve">  Specialization6 string,</t>
  </si>
  <si>
    <t xml:space="preserve">  Specialization7 string,</t>
  </si>
  <si>
    <t xml:space="preserve">  Specialization8 string,</t>
  </si>
  <si>
    <t xml:space="preserve">  GeographicUnit string,</t>
  </si>
  <si>
    <t xml:space="preserve">  Individual_Deployed_to_Entity string,</t>
  </si>
  <si>
    <t xml:space="preserve">  LCR double,</t>
  </si>
  <si>
    <t xml:space="preserve">  Level string,</t>
  </si>
  <si>
    <t xml:space="preserve">  Level_Group string,</t>
  </si>
  <si>
    <t xml:space="preserve">  Location string,</t>
  </si>
  <si>
    <t xml:space="preserve">  MAL double,</t>
  </si>
  <si>
    <t xml:space="preserve">  MetroCity string,</t>
  </si>
  <si>
    <t xml:space="preserve">  PrflKey int,</t>
  </si>
  <si>
    <t xml:space="preserve">  PrflSumm string,</t>
  </si>
  <si>
    <t xml:space="preserve">  ProfNm string,</t>
  </si>
  <si>
    <t xml:space="preserve">  Qual string,</t>
  </si>
  <si>
    <t xml:space="preserve">  Region string,</t>
  </si>
  <si>
    <t xml:space="preserve">  Role string,</t>
  </si>
  <si>
    <t xml:space="preserve">  Roll_off_date timestamp,</t>
  </si>
  <si>
    <t xml:space="preserve">  Skl string,</t>
  </si>
  <si>
    <t xml:space="preserve">  StrtMo int,</t>
  </si>
  <si>
    <t xml:space="preserve">  StrtYr int,</t>
  </si>
  <si>
    <t xml:space="preserve">  Talent_Segment string,</t>
  </si>
  <si>
    <t xml:space="preserve">  Skills_Ontology string,</t>
  </si>
  <si>
    <t xml:space="preserve">  Skills_Alias_List string,</t>
  </si>
  <si>
    <t xml:space="preserve">  Proximity_Skills_List string,</t>
  </si>
  <si>
    <t xml:space="preserve">  Skill_Heirarchy string,</t>
  </si>
  <si>
    <t xml:space="preserve">  PeopleKey int,</t>
  </si>
  <si>
    <t xml:space="preserve">  IsActive boolean</t>
  </si>
  <si>
    <t>additional_role_info_1</t>
  </si>
  <si>
    <t>additional_role_info_2</t>
  </si>
  <si>
    <t>afe_path</t>
  </si>
  <si>
    <t>assigned_role</t>
  </si>
  <si>
    <t>assigned_role_priority</t>
  </si>
  <si>
    <t>assignment_id</t>
  </si>
  <si>
    <t>booked_resource_id</t>
  </si>
  <si>
    <t>career_track</t>
  </si>
  <si>
    <t>client_id</t>
  </si>
  <si>
    <t>client_tier</t>
  </si>
  <si>
    <t>ClientNm</t>
  </si>
  <si>
    <t>ProjectIndustry</t>
  </si>
  <si>
    <t>common_demand_id</t>
  </si>
  <si>
    <t>create_date</t>
  </si>
  <si>
    <t>demand_close_date</t>
  </si>
  <si>
    <t>demand_source</t>
  </si>
  <si>
    <t>demand_status</t>
  </si>
  <si>
    <t>demandtype</t>
  </si>
  <si>
    <t>expected_fulfillment_date</t>
  </si>
  <si>
    <t>fulfillment_entity_l1</t>
  </si>
  <si>
    <t>lcrto</t>
  </si>
  <si>
    <t>lcrfrom</t>
  </si>
  <si>
    <t>level_priority</t>
  </si>
  <si>
    <t>location_preference</t>
  </si>
  <si>
    <t>location_preference_priority</t>
  </si>
  <si>
    <t>other_skill_priority</t>
  </si>
  <si>
    <t>primary_skill_priority</t>
  </si>
  <si>
    <t>project_country</t>
  </si>
  <si>
    <t>project_geographic_area</t>
  </si>
  <si>
    <t>project_geographic_unit</t>
  </si>
  <si>
    <t>project_id</t>
  </si>
  <si>
    <t>project_metro_city</t>
  </si>
  <si>
    <t>role_country</t>
  </si>
  <si>
    <t>role_description</t>
  </si>
  <si>
    <t>role_end_date</t>
  </si>
  <si>
    <t>role_fill_start_date</t>
  </si>
  <si>
    <t>role_filled_date</t>
  </si>
  <si>
    <t>role_fulfillment_date</t>
  </si>
  <si>
    <t>role_geographic_area</t>
  </si>
  <si>
    <t>role_geographic_unit</t>
  </si>
  <si>
    <t>role_is_sold</t>
  </si>
  <si>
    <t>role_level_from_detail</t>
  </si>
  <si>
    <t>role_level_to_detail</t>
  </si>
  <si>
    <t>role_level_to_group</t>
  </si>
  <si>
    <t>role_metro_city</t>
  </si>
  <si>
    <t>role_primary_skills</t>
  </si>
  <si>
    <t>role_priority</t>
  </si>
  <si>
    <t>role_region</t>
  </si>
  <si>
    <t>role_reopen_date</t>
  </si>
  <si>
    <t>role_skills</t>
  </si>
  <si>
    <t>role_start_date</t>
  </si>
  <si>
    <t>role_talent_segment</t>
  </si>
  <si>
    <t>role_work_location</t>
  </si>
  <si>
    <t>roletitle</t>
  </si>
  <si>
    <t>sold_flag</t>
  </si>
  <si>
    <t>specialty_id</t>
  </si>
  <si>
    <t>specialty_path</t>
  </si>
  <si>
    <t>specialty2_id</t>
  </si>
  <si>
    <t>specialty2_path</t>
  </si>
  <si>
    <t>specialty3_id</t>
  </si>
  <si>
    <t>specialty3_path</t>
  </si>
  <si>
    <t>isactive</t>
  </si>
  <si>
    <t xml:space="preserve">  additional_role_info_1 string,</t>
  </si>
  <si>
    <t xml:space="preserve">  additional_role_info_2 string,</t>
  </si>
  <si>
    <t xml:space="preserve">  afe_path string,</t>
  </si>
  <si>
    <t xml:space="preserve">  assigned_role string,</t>
  </si>
  <si>
    <t xml:space="preserve">  assigned_role_priority int,</t>
  </si>
  <si>
    <t xml:space="preserve">  assignment_id int,</t>
  </si>
  <si>
    <t xml:space="preserve">  booked_resource_id int,</t>
  </si>
  <si>
    <t xml:space="preserve">  career_track string,</t>
  </si>
  <si>
    <t xml:space="preserve">  client_id int,</t>
  </si>
  <si>
    <t xml:space="preserve">  client_tier string,</t>
  </si>
  <si>
    <t xml:space="preserve">  ClientNm string,</t>
  </si>
  <si>
    <t xml:space="preserve">  ProjectIndustry string,</t>
  </si>
  <si>
    <t xml:space="preserve">  common_demand_id int,</t>
  </si>
  <si>
    <t xml:space="preserve">  create_date timestamp,</t>
  </si>
  <si>
    <t xml:space="preserve">  demand_close_date timestamp,</t>
  </si>
  <si>
    <t xml:space="preserve">  demand_source string,</t>
  </si>
  <si>
    <t xml:space="preserve">  demand_status string,</t>
  </si>
  <si>
    <t xml:space="preserve">  demandtype string,</t>
  </si>
  <si>
    <t xml:space="preserve">  expected_fulfillment_date timestamp,</t>
  </si>
  <si>
    <t xml:space="preserve">  fulfillment_entity_l1 string,</t>
  </si>
  <si>
    <t xml:space="preserve">  lcrto double,</t>
  </si>
  <si>
    <t xml:space="preserve">  lcrfrom double,</t>
  </si>
  <si>
    <t xml:space="preserve">  level_priority int,</t>
  </si>
  <si>
    <t xml:space="preserve">  location_preference string,</t>
  </si>
  <si>
    <t xml:space="preserve">  location_preference_priority int,</t>
  </si>
  <si>
    <t xml:space="preserve">  other_skill_priority int,</t>
  </si>
  <si>
    <t xml:space="preserve">  primary_skill_priority int,</t>
  </si>
  <si>
    <t xml:space="preserve">  project_country string,</t>
  </si>
  <si>
    <t xml:space="preserve">  project_geographic_area string,</t>
  </si>
  <si>
    <t xml:space="preserve">  project_geographic_unit string,</t>
  </si>
  <si>
    <t xml:space="preserve">  project_id int,</t>
  </si>
  <si>
    <t xml:space="preserve">  project_metro_city string,</t>
  </si>
  <si>
    <t xml:space="preserve">  role_country string,</t>
  </si>
  <si>
    <t xml:space="preserve">  role_description string,</t>
  </si>
  <si>
    <t xml:space="preserve">  role_end_date timestamp,</t>
  </si>
  <si>
    <t xml:space="preserve">  role_fill_start_date timestamp,</t>
  </si>
  <si>
    <t xml:space="preserve">  role_filled_date timestamp,</t>
  </si>
  <si>
    <t xml:space="preserve">  role_fulfillment_date timestamp,</t>
  </si>
  <si>
    <t xml:space="preserve">  role_geographic_area string,</t>
  </si>
  <si>
    <t xml:space="preserve">  role_geographic_unit string,</t>
  </si>
  <si>
    <t xml:space="preserve">  role_level_from_detail string,</t>
  </si>
  <si>
    <t xml:space="preserve">  role_level_to_detail string,</t>
  </si>
  <si>
    <t xml:space="preserve">  role_level_to_group string,</t>
  </si>
  <si>
    <t xml:space="preserve">  role_metro_city string,</t>
  </si>
  <si>
    <t xml:space="preserve">  role_primary_skills string,</t>
  </si>
  <si>
    <t xml:space="preserve">  role_priority string,</t>
  </si>
  <si>
    <t xml:space="preserve">  role_region string,</t>
  </si>
  <si>
    <t xml:space="preserve">  role_reopen_date timestamp,</t>
  </si>
  <si>
    <t xml:space="preserve">  role_skills string,</t>
  </si>
  <si>
    <t xml:space="preserve">  role_start_date timestamp,</t>
  </si>
  <si>
    <t xml:space="preserve">  role_talent_segment string,</t>
  </si>
  <si>
    <t xml:space="preserve">  role_work_location string,</t>
  </si>
  <si>
    <t xml:space="preserve">  roletitle string,</t>
  </si>
  <si>
    <t xml:space="preserve">  sold_flag string,</t>
  </si>
  <si>
    <t xml:space="preserve">  specialty_id int,</t>
  </si>
  <si>
    <t xml:space="preserve">  specialty_path string,</t>
  </si>
  <si>
    <t xml:space="preserve">  specialty2_id int,</t>
  </si>
  <si>
    <t xml:space="preserve">  specialty2_path string,</t>
  </si>
  <si>
    <t xml:space="preserve">  specialty3_id int,</t>
  </si>
  <si>
    <t xml:space="preserve">  specialty3_path string,</t>
  </si>
  <si>
    <t xml:space="preserve">  isactive boolean</t>
  </si>
  <si>
    <t>project_name</t>
  </si>
  <si>
    <t xml:space="preserve">  project_name string,</t>
  </si>
  <si>
    <t xml:space="preserve">  role_is_sold boolean,</t>
  </si>
  <si>
    <t xml:space="preserve">  EnterpriseId string,</t>
  </si>
  <si>
    <t xml:space="preserve">  ProfKey string,</t>
  </si>
  <si>
    <t xml:space="preserve">  SkillNodeId string,</t>
  </si>
  <si>
    <t>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</si>
</sst>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/>
    <xf numFmtId="0" fontId="2" fillId="3" borderId="0" xfId="0" applyFont="1" applyFill="1"/>
    <xf numFmtId="0" fontId="0" fillId="0" borderId="1" xfId="0" applyBorder="1"/>
    <xf numFmtId="0" fontId="2" fillId="2" borderId="1" xfId="0" applyFont="1" applyFill="1" applyBorder="1"/>
    <xf numFmtId="0" fontId="0" fillId="4" borderId="0" xfId="0" applyFill="1"/>
    <xf numFmtId="0" fontId="0" fillId="5" borderId="0" xfId="0" applyFill="1"/>
    <xf numFmtId="0" fontId="3" fillId="0" borderId="0" xfId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/>
    <xf numFmtId="0" fontId="4" fillId="0" borderId="0" xfId="0" applyFont="1" applyFill="1" applyBorder="1" applyAlignment="1" applyProtection="1"/>
  </cellXfs>
  <cellStyles count="3">
    <cellStyle name="Hyperlink" xfId="1" builtinId="8"/>
    <cellStyle name="Normal" xfId="0" builtinId="0"/>
    <cellStyle name="Normal 2" xfId="2" xr:uid="{CAA6E707-094B-497B-A0ED-BF2EF12065E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BBF7CD4-3FD7-4386-8118-9C43C3A2A95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0</xdr:row>
          <xdr:rowOff>180975</xdr:rowOff>
        </xdr:from>
        <xdr:to>
          <xdr:col>1</xdr:col>
          <xdr:colOff>2428875</xdr:colOff>
          <xdr:row>2</xdr:row>
          <xdr:rowOff>180975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Table DDL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2695575</xdr:colOff>
          <xdr:row>0</xdr:row>
          <xdr:rowOff>161925</xdr:rowOff>
        </xdr:from>
        <xdr:to>
          <xdr:col>3</xdr:col>
          <xdr:colOff>314325</xdr:colOff>
          <xdr:row>2</xdr:row>
          <xdr:rowOff>161925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 Table DDL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57150</xdr:rowOff>
        </xdr:from>
        <xdr:to>
          <xdr:col>4</xdr:col>
          <xdr:colOff>381000</xdr:colOff>
          <xdr:row>5</xdr:row>
          <xdr:rowOff>57150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DDL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19553" name="Button 1" hidden="1">
              <a:extLst>
                <a:ext uri="{63B3BB69-23CF-44E3-9099-C40C66FF867C}">
                  <a14:compatExt spid="_x0000_s919553"/>
                </a:ext>
                <a:ext uri="{FF2B5EF4-FFF2-40B4-BE49-F238E27FC236}">
                  <a16:creationId xmlns:a16="http://schemas.microsoft.com/office/drawing/2014/main" id="{00000000-0008-0000-0100-0000010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0</xdr:rowOff>
        </xdr:from>
        <xdr:to>
          <xdr:col>7</xdr:col>
          <xdr:colOff>0</xdr:colOff>
          <xdr:row>1</xdr:row>
          <xdr:rowOff>371475</xdr:rowOff>
        </xdr:to>
        <xdr:sp macro="" textlink="">
          <xdr:nvSpPr>
            <xdr:cNvPr id="915457" name="Button 1" hidden="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200-000001F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DDL &amp; 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DL_CommonModul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list"/>
      <sheetName val="a_ac_contract_rev_to_soe_client"/>
      <sheetName val="a_ac_political_vendor"/>
      <sheetName val="a_ac_training_hours"/>
      <sheetName val="A_AC_VENDOR_SPEND_TO_SOE"/>
      <sheetName val="A_AC_T_E_SPEND_TO_SOE"/>
      <sheetName val="A_AC_EXCLUSIVE_CUSTOMER"/>
      <sheetName val="A_AC_EXPENSE_BY_WBSE_OWNER"/>
      <sheetName val="A_AC_EXPENSE_BY_INACTIVE_EMPLOY"/>
      <sheetName val="a_ac_flat_8_charging"/>
      <sheetName val="A_AC_GE_NON_APPROVED"/>
      <sheetName val="A_AC_GE_Unapproved"/>
      <sheetName val="A_AC_GE_APPROVAL"/>
      <sheetName val="A_AC_POLITICAL_CONTRIBUTION_TE"/>
      <sheetName val="A_AC_NEW_WBSE_FLAG"/>
      <sheetName val="A_AC_NEW_MD_FLAG"/>
      <sheetName val="A_AC_OT_HOURS"/>
      <sheetName val="c_ac_ge_expense"/>
      <sheetName val="C_AC_TE_ExpenseDetails"/>
      <sheetName val="c_ac_te_expensedetails_tmp1"/>
      <sheetName val="Timereport"/>
      <sheetName val="TimeEntry"/>
      <sheetName val="c_ac_timedetails_test"/>
      <sheetName val="ac_bot_timedetails"/>
      <sheetName val="C_WBSEDetails"/>
      <sheetName val="A_AC_EXPENSE_TO_PTO_WBSE"/>
      <sheetName val="ac_bot_expense_bd_soe"/>
      <sheetName val="ac_bot_timeactivity"/>
      <sheetName val="ac_bot_invoice_transaction"/>
      <sheetName val="Help：Trim"/>
    </sheetNames>
    <definedNames>
      <definedName name="CopyAllTableDDL"/>
      <definedName name="CopySelectedTableDDL"/>
      <definedName name="GenerateAllDDLFile"/>
      <definedName name="UpdateTableLi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581E4-AEEF-43B7-A8AC-E644423D8265}">
  <sheetPr codeName="Sheet32"/>
  <dimension ref="A1:M60"/>
  <sheetViews>
    <sheetView tabSelected="1" workbookViewId="0"/>
  </sheetViews>
  <sheetFormatPr defaultRowHeight="15" x14ac:dyDescent="0.25"/>
  <cols>
    <col min="2" max="2" width="47.85546875" customWidth="1"/>
    <col min="6" max="6" width="14.85546875" bestFit="1" customWidth="1"/>
    <col min="7" max="7" width="37.42578125" customWidth="1"/>
    <col min="13" max="13" width="12.85546875" bestFit="1" customWidth="1"/>
  </cols>
  <sheetData>
    <row r="1" spans="1:13" x14ac:dyDescent="0.25">
      <c r="F1" s="2" t="s">
        <v>14</v>
      </c>
      <c r="K1" s="9" t="s">
        <v>16</v>
      </c>
      <c r="L1" s="9" t="s">
        <v>21</v>
      </c>
      <c r="M1" s="9" t="s">
        <v>32</v>
      </c>
    </row>
    <row r="2" spans="1:13" x14ac:dyDescent="0.25">
      <c r="F2" s="5" t="s">
        <v>16</v>
      </c>
      <c r="G2" s="11" t="s">
        <v>19</v>
      </c>
      <c r="K2" s="4" t="s">
        <v>19</v>
      </c>
      <c r="L2" s="4"/>
      <c r="M2" s="4" t="s">
        <v>37</v>
      </c>
    </row>
    <row r="3" spans="1:13" x14ac:dyDescent="0.25">
      <c r="F3" s="5" t="s">
        <v>24</v>
      </c>
      <c r="G3" s="11" t="s">
        <v>18</v>
      </c>
      <c r="K3" s="4" t="s">
        <v>17</v>
      </c>
      <c r="L3" s="4"/>
      <c r="M3" s="4" t="s">
        <v>36</v>
      </c>
    </row>
    <row r="4" spans="1:13" x14ac:dyDescent="0.25">
      <c r="A4" t="s">
        <v>15</v>
      </c>
      <c r="F4" s="5"/>
      <c r="G4" s="4"/>
      <c r="K4" s="4" t="s">
        <v>20</v>
      </c>
      <c r="L4" s="4"/>
      <c r="M4" s="4" t="s">
        <v>37</v>
      </c>
    </row>
    <row r="5" spans="1:13" x14ac:dyDescent="0.25">
      <c r="A5" s="1" t="s">
        <v>13</v>
      </c>
      <c r="B5" s="1" t="s">
        <v>0</v>
      </c>
      <c r="F5" s="5" t="s">
        <v>2</v>
      </c>
      <c r="G5" s="10" t="str">
        <f>"myhrschd_" &amp; VLOOKUP(G2,K2:L4,2,FALSE) &amp; VLOOKUP(G3,K7:L9,2,FALSE)&amp;"9376"</f>
        <v>myhrschd_insight_9376</v>
      </c>
    </row>
    <row r="6" spans="1:13" x14ac:dyDescent="0.25">
      <c r="A6">
        <f>ROW()-5</f>
        <v>1</v>
      </c>
      <c r="B6" s="8" t="s">
        <v>38</v>
      </c>
      <c r="F6" s="5" t="s">
        <v>3</v>
      </c>
      <c r="G6" s="10" t="s">
        <v>8</v>
      </c>
      <c r="K6" s="9" t="s">
        <v>24</v>
      </c>
      <c r="L6" s="9" t="s">
        <v>27</v>
      </c>
      <c r="M6" s="9" t="s">
        <v>28</v>
      </c>
    </row>
    <row r="7" spans="1:13" x14ac:dyDescent="0.25">
      <c r="A7">
        <f>ROW()-5</f>
        <v>2</v>
      </c>
      <c r="B7" s="8" t="s">
        <v>165</v>
      </c>
      <c r="F7" s="5" t="s">
        <v>4</v>
      </c>
      <c r="G7" s="10" t="str">
        <f>"/data/" &amp; VLOOKUP(G3,K7:M9,3,FALSE)&amp;"/cio/" &amp; VLOOKUP(G2,K2:M4,3,FALSE) &amp; "/"</f>
        <v>/data/insight/cio/myhrschd/</v>
      </c>
      <c r="K7" s="4" t="s">
        <v>22</v>
      </c>
      <c r="L7" s="4"/>
      <c r="M7" s="4" t="s">
        <v>29</v>
      </c>
    </row>
    <row r="8" spans="1:13" x14ac:dyDescent="0.25">
      <c r="B8" s="8"/>
      <c r="F8" s="5" t="s">
        <v>7</v>
      </c>
      <c r="G8" s="11"/>
      <c r="K8" s="4" t="s">
        <v>23</v>
      </c>
      <c r="L8" s="4" t="s">
        <v>25</v>
      </c>
      <c r="M8" s="4" t="s">
        <v>30</v>
      </c>
    </row>
    <row r="9" spans="1:13" x14ac:dyDescent="0.25">
      <c r="B9" s="8"/>
      <c r="F9" s="5" t="s">
        <v>103</v>
      </c>
      <c r="G9" s="11" t="s">
        <v>348</v>
      </c>
      <c r="K9" s="4" t="s">
        <v>18</v>
      </c>
      <c r="L9" s="4" t="s">
        <v>26</v>
      </c>
      <c r="M9" s="4" t="s">
        <v>31</v>
      </c>
    </row>
    <row r="10" spans="1:13" x14ac:dyDescent="0.25">
      <c r="B10" s="8"/>
    </row>
    <row r="11" spans="1:13" x14ac:dyDescent="0.25">
      <c r="B11" s="8"/>
    </row>
    <row r="12" spans="1:13" x14ac:dyDescent="0.25">
      <c r="B12" s="8"/>
    </row>
    <row r="13" spans="1:13" x14ac:dyDescent="0.25">
      <c r="B13" s="8"/>
    </row>
    <row r="14" spans="1:13" x14ac:dyDescent="0.25">
      <c r="B14" s="8"/>
    </row>
    <row r="15" spans="1:13" x14ac:dyDescent="0.25">
      <c r="B15" s="8"/>
    </row>
    <row r="16" spans="1:13" x14ac:dyDescent="0.25">
      <c r="B16" s="8"/>
    </row>
    <row r="17" spans="2:2" x14ac:dyDescent="0.25">
      <c r="B17" s="8"/>
    </row>
    <row r="18" spans="2:2" x14ac:dyDescent="0.25">
      <c r="B18" s="8"/>
    </row>
    <row r="19" spans="2:2" x14ac:dyDescent="0.25">
      <c r="B19" s="8"/>
    </row>
    <row r="20" spans="2:2" x14ac:dyDescent="0.25">
      <c r="B20" s="8"/>
    </row>
    <row r="21" spans="2:2" x14ac:dyDescent="0.25">
      <c r="B21" s="8"/>
    </row>
    <row r="22" spans="2:2" x14ac:dyDescent="0.25">
      <c r="B22" s="8"/>
    </row>
    <row r="23" spans="2:2" x14ac:dyDescent="0.25">
      <c r="B23" s="8"/>
    </row>
    <row r="24" spans="2:2" x14ac:dyDescent="0.25">
      <c r="B24" s="8"/>
    </row>
    <row r="25" spans="2:2" x14ac:dyDescent="0.25">
      <c r="B25" s="8"/>
    </row>
    <row r="26" spans="2:2" x14ac:dyDescent="0.25">
      <c r="B26" s="8"/>
    </row>
    <row r="27" spans="2:2" x14ac:dyDescent="0.25">
      <c r="B27" s="8"/>
    </row>
    <row r="28" spans="2:2" x14ac:dyDescent="0.25">
      <c r="B28" s="8"/>
    </row>
    <row r="29" spans="2:2" x14ac:dyDescent="0.25">
      <c r="B29" s="8"/>
    </row>
    <row r="30" spans="2:2" x14ac:dyDescent="0.25">
      <c r="B30" s="8"/>
    </row>
    <row r="31" spans="2:2" x14ac:dyDescent="0.25">
      <c r="B31" s="8"/>
    </row>
    <row r="32" spans="2:2" x14ac:dyDescent="0.25">
      <c r="B32" s="8"/>
    </row>
    <row r="33" spans="1:2" x14ac:dyDescent="0.25">
      <c r="B33" s="8"/>
    </row>
    <row r="34" spans="1:2" x14ac:dyDescent="0.25">
      <c r="B34" s="8"/>
    </row>
    <row r="35" spans="1:2" x14ac:dyDescent="0.25">
      <c r="A35" s="8"/>
      <c r="B35" s="8"/>
    </row>
    <row r="36" spans="1:2" x14ac:dyDescent="0.25">
      <c r="B36" s="8"/>
    </row>
    <row r="37" spans="1:2" x14ac:dyDescent="0.25">
      <c r="B37" s="8"/>
    </row>
    <row r="38" spans="1:2" x14ac:dyDescent="0.25">
      <c r="B38" s="8"/>
    </row>
    <row r="39" spans="1:2" x14ac:dyDescent="0.25">
      <c r="B39" s="8"/>
    </row>
    <row r="40" spans="1:2" x14ac:dyDescent="0.25">
      <c r="B40" s="8"/>
    </row>
    <row r="41" spans="1:2" x14ac:dyDescent="0.25">
      <c r="B41" s="8"/>
    </row>
    <row r="42" spans="1:2" x14ac:dyDescent="0.25">
      <c r="B42" s="8"/>
    </row>
    <row r="43" spans="1:2" x14ac:dyDescent="0.25">
      <c r="B43" s="8"/>
    </row>
    <row r="44" spans="1:2" x14ac:dyDescent="0.25">
      <c r="B44" s="8"/>
    </row>
    <row r="45" spans="1:2" x14ac:dyDescent="0.25">
      <c r="B45" s="8"/>
    </row>
    <row r="46" spans="1:2" x14ac:dyDescent="0.25">
      <c r="B46" s="8"/>
    </row>
    <row r="47" spans="1:2" x14ac:dyDescent="0.25">
      <c r="B47" s="8"/>
    </row>
    <row r="48" spans="1:2" x14ac:dyDescent="0.25">
      <c r="B48" s="8"/>
    </row>
    <row r="49" spans="2:2" x14ac:dyDescent="0.25">
      <c r="B49" s="8"/>
    </row>
    <row r="50" spans="2:2" x14ac:dyDescent="0.25">
      <c r="B50" s="8"/>
    </row>
    <row r="51" spans="2:2" x14ac:dyDescent="0.25">
      <c r="B51" s="8"/>
    </row>
    <row r="52" spans="2:2" x14ac:dyDescent="0.25">
      <c r="B52" s="8"/>
    </row>
    <row r="53" spans="2:2" x14ac:dyDescent="0.25">
      <c r="B53" s="8"/>
    </row>
    <row r="54" spans="2:2" x14ac:dyDescent="0.25">
      <c r="B54" s="8"/>
    </row>
    <row r="55" spans="2:2" x14ac:dyDescent="0.25">
      <c r="B55" s="8"/>
    </row>
    <row r="56" spans="2:2" x14ac:dyDescent="0.25">
      <c r="B56" s="8"/>
    </row>
    <row r="57" spans="2:2" x14ac:dyDescent="0.25">
      <c r="B57" s="8"/>
    </row>
    <row r="58" spans="2:2" x14ac:dyDescent="0.25">
      <c r="B58" s="8"/>
    </row>
    <row r="59" spans="2:2" x14ac:dyDescent="0.25">
      <c r="B59" s="8"/>
    </row>
    <row r="60" spans="2:2" x14ac:dyDescent="0.25">
      <c r="B60" s="8"/>
    </row>
  </sheetData>
  <dataConsolidate/>
  <dataValidations count="3">
    <dataValidation type="list" allowBlank="1" showInputMessage="1" showErrorMessage="1" sqref="G3" xr:uid="{ADEC03A1-4BA7-4C10-B2D1-6ED99C921223}">
      <formula1>$K$7:$K$9</formula1>
    </dataValidation>
    <dataValidation type="list" allowBlank="1" showInputMessage="1" showErrorMessage="1" sqref="G2" xr:uid="{8B406C75-2312-47E5-BD23-649500FAC269}">
      <formula1>$K$2:$K$4</formula1>
    </dataValidation>
    <dataValidation type="list" allowBlank="1" showInputMessage="1" showErrorMessage="1" sqref="G9" xr:uid="{28AF493F-1B6D-4052-9E0E-03AEB5BDC5A6}">
      <formula1>"_delta,_bulk,_test,_5K,_20K,_60K"</formula1>
    </dataValidation>
  </dataValidations>
  <hyperlinks>
    <hyperlink ref="B6" location="demand!A1" display="demand" xr:uid="{ABB5DB26-40F1-42E1-A4A9-50AC1ACBAAF5}"/>
    <hyperlink ref="B7" location="supply!A1" display="supply" xr:uid="{B3A9ADDE-590B-4113-A508-255EC1A18D6C}"/>
  </hyperlink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1]!UpdateTableList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1]!CopySelectedTableDDL">
                <anchor moveWithCells="1" sizeWithCells="1">
                  <from>
                    <xdr:col>1</xdr:col>
                    <xdr:colOff>914400</xdr:colOff>
                    <xdr:row>0</xdr:row>
                    <xdr:rowOff>180975</xdr:rowOff>
                  </from>
                  <to>
                    <xdr:col>1</xdr:col>
                    <xdr:colOff>2428875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1]!CopyAllTableDDL">
                <anchor moveWithCells="1" sizeWithCells="1">
                  <from>
                    <xdr:col>1</xdr:col>
                    <xdr:colOff>2695575</xdr:colOff>
                    <xdr:row>0</xdr:row>
                    <xdr:rowOff>161925</xdr:rowOff>
                  </from>
                  <to>
                    <xdr:col>3</xdr:col>
                    <xdr:colOff>314325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1]!GenerateAllDDLFile">
                <anchor moveWithCells="1" sizeWithCells="1">
                  <from>
                    <xdr:col>2</xdr:col>
                    <xdr:colOff>180975</xdr:colOff>
                    <xdr:row>3</xdr:row>
                    <xdr:rowOff>57150</xdr:rowOff>
                  </from>
                  <to>
                    <xdr:col>4</xdr:col>
                    <xdr:colOff>381000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20E90-A226-479A-A151-E871F0491D3C}">
  <sheetPr codeName="Sheet58"/>
  <dimension ref="A1:H76"/>
  <sheetViews>
    <sheetView topLeftCell="A51" workbookViewId="0">
      <selection activeCell="H76" sqref="H76"/>
    </sheetView>
  </sheetViews>
  <sheetFormatPr defaultRowHeight="15" x14ac:dyDescent="0.25"/>
  <cols>
    <col min="1" max="1" width="22.42578125" bestFit="1" customWidth="1"/>
    <col min="2" max="2" width="24" bestFit="1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demand</v>
      </c>
      <c r="H2" t="str">
        <f ca="1">"ALTER TABLE " &amp; Tablelist!G5 &amp; "." &amp; Tablelist!G8 &amp; B2 &amp; Tablelist!G9 &amp; " SET TBLPROPERTIES('EXTERNAL'='False');"</f>
        <v>ALTER TABLE myhrschd_insight_9376.demand_delta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myhrschd_insight_9376.demand_delta;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myhrschd_insight_9376.demand_delta(</v>
      </c>
    </row>
    <row r="6" spans="1:8" x14ac:dyDescent="0.25">
      <c r="A6" t="s">
        <v>106</v>
      </c>
      <c r="B6" t="s">
        <v>162</v>
      </c>
      <c r="H6" t="s">
        <v>166</v>
      </c>
    </row>
    <row r="7" spans="1:8" x14ac:dyDescent="0.25">
      <c r="A7" t="s">
        <v>219</v>
      </c>
      <c r="B7" t="s">
        <v>33</v>
      </c>
      <c r="H7" t="s">
        <v>281</v>
      </c>
    </row>
    <row r="8" spans="1:8" x14ac:dyDescent="0.25">
      <c r="A8" t="s">
        <v>220</v>
      </c>
      <c r="B8" t="s">
        <v>33</v>
      </c>
      <c r="H8" t="s">
        <v>282</v>
      </c>
    </row>
    <row r="9" spans="1:8" x14ac:dyDescent="0.25">
      <c r="A9" t="s">
        <v>221</v>
      </c>
      <c r="B9" t="s">
        <v>33</v>
      </c>
      <c r="H9" t="s">
        <v>283</v>
      </c>
    </row>
    <row r="10" spans="1:8" x14ac:dyDescent="0.25">
      <c r="A10" t="s">
        <v>222</v>
      </c>
      <c r="B10" t="s">
        <v>33</v>
      </c>
      <c r="H10" t="s">
        <v>284</v>
      </c>
    </row>
    <row r="11" spans="1:8" x14ac:dyDescent="0.25">
      <c r="A11" t="s">
        <v>223</v>
      </c>
      <c r="B11" t="s">
        <v>34</v>
      </c>
      <c r="H11" t="s">
        <v>285</v>
      </c>
    </row>
    <row r="12" spans="1:8" x14ac:dyDescent="0.25">
      <c r="A12" t="s">
        <v>224</v>
      </c>
      <c r="B12" t="s">
        <v>34</v>
      </c>
      <c r="H12" t="s">
        <v>286</v>
      </c>
    </row>
    <row r="13" spans="1:8" x14ac:dyDescent="0.25">
      <c r="A13" t="s">
        <v>225</v>
      </c>
      <c r="B13" t="s">
        <v>34</v>
      </c>
      <c r="H13" t="s">
        <v>287</v>
      </c>
    </row>
    <row r="14" spans="1:8" x14ac:dyDescent="0.25">
      <c r="A14" t="s">
        <v>226</v>
      </c>
      <c r="B14" t="s">
        <v>33</v>
      </c>
      <c r="H14" t="s">
        <v>288</v>
      </c>
    </row>
    <row r="15" spans="1:8" x14ac:dyDescent="0.25">
      <c r="A15" t="s">
        <v>227</v>
      </c>
      <c r="B15" t="s">
        <v>34</v>
      </c>
      <c r="H15" t="s">
        <v>289</v>
      </c>
    </row>
    <row r="16" spans="1:8" x14ac:dyDescent="0.25">
      <c r="A16" t="s">
        <v>229</v>
      </c>
      <c r="B16" t="s">
        <v>33</v>
      </c>
      <c r="H16" t="s">
        <v>291</v>
      </c>
    </row>
    <row r="17" spans="1:8" x14ac:dyDescent="0.25">
      <c r="A17" t="s">
        <v>228</v>
      </c>
      <c r="B17" t="s">
        <v>33</v>
      </c>
      <c r="H17" t="s">
        <v>290</v>
      </c>
    </row>
    <row r="18" spans="1:8" x14ac:dyDescent="0.25">
      <c r="A18" t="s">
        <v>231</v>
      </c>
      <c r="B18" t="s">
        <v>34</v>
      </c>
      <c r="H18" t="s">
        <v>293</v>
      </c>
    </row>
    <row r="19" spans="1:8" x14ac:dyDescent="0.25">
      <c r="A19" t="s">
        <v>232</v>
      </c>
      <c r="B19" t="s">
        <v>163</v>
      </c>
      <c r="H19" t="s">
        <v>294</v>
      </c>
    </row>
    <row r="20" spans="1:8" x14ac:dyDescent="0.25">
      <c r="A20" t="s">
        <v>233</v>
      </c>
      <c r="B20" t="s">
        <v>163</v>
      </c>
      <c r="H20" t="s">
        <v>295</v>
      </c>
    </row>
    <row r="21" spans="1:8" x14ac:dyDescent="0.25">
      <c r="A21" t="s">
        <v>234</v>
      </c>
      <c r="B21" t="s">
        <v>33</v>
      </c>
      <c r="H21" t="s">
        <v>296</v>
      </c>
    </row>
    <row r="22" spans="1:8" x14ac:dyDescent="0.25">
      <c r="A22" t="s">
        <v>235</v>
      </c>
      <c r="B22" t="s">
        <v>33</v>
      </c>
      <c r="H22" t="s">
        <v>297</v>
      </c>
    </row>
    <row r="23" spans="1:8" x14ac:dyDescent="0.25">
      <c r="A23" t="s">
        <v>236</v>
      </c>
      <c r="B23" t="s">
        <v>33</v>
      </c>
      <c r="H23" t="s">
        <v>298</v>
      </c>
    </row>
    <row r="24" spans="1:8" x14ac:dyDescent="0.25">
      <c r="A24" t="s">
        <v>237</v>
      </c>
      <c r="B24" t="s">
        <v>163</v>
      </c>
      <c r="H24" t="s">
        <v>299</v>
      </c>
    </row>
    <row r="25" spans="1:8" x14ac:dyDescent="0.25">
      <c r="A25" t="s">
        <v>238</v>
      </c>
      <c r="B25" t="s">
        <v>33</v>
      </c>
      <c r="H25" t="s">
        <v>300</v>
      </c>
    </row>
    <row r="26" spans="1:8" x14ac:dyDescent="0.25">
      <c r="A26" t="s">
        <v>239</v>
      </c>
      <c r="B26" t="s">
        <v>35</v>
      </c>
      <c r="H26" t="s">
        <v>301</v>
      </c>
    </row>
    <row r="27" spans="1:8" x14ac:dyDescent="0.25">
      <c r="A27" t="s">
        <v>240</v>
      </c>
      <c r="B27" t="s">
        <v>35</v>
      </c>
      <c r="H27" t="s">
        <v>302</v>
      </c>
    </row>
    <row r="28" spans="1:8" x14ac:dyDescent="0.25">
      <c r="A28" t="s">
        <v>241</v>
      </c>
      <c r="B28" t="s">
        <v>34</v>
      </c>
      <c r="H28" t="s">
        <v>303</v>
      </c>
    </row>
    <row r="29" spans="1:8" x14ac:dyDescent="0.25">
      <c r="A29" t="s">
        <v>242</v>
      </c>
      <c r="B29" t="s">
        <v>33</v>
      </c>
      <c r="H29" t="s">
        <v>304</v>
      </c>
    </row>
    <row r="30" spans="1:8" x14ac:dyDescent="0.25">
      <c r="A30" t="s">
        <v>243</v>
      </c>
      <c r="B30" t="s">
        <v>34</v>
      </c>
      <c r="H30" t="s">
        <v>305</v>
      </c>
    </row>
    <row r="31" spans="1:8" x14ac:dyDescent="0.25">
      <c r="A31" t="s">
        <v>244</v>
      </c>
      <c r="B31" t="s">
        <v>34</v>
      </c>
      <c r="H31" t="s">
        <v>306</v>
      </c>
    </row>
    <row r="32" spans="1:8" x14ac:dyDescent="0.25">
      <c r="A32" t="s">
        <v>245</v>
      </c>
      <c r="B32" t="s">
        <v>34</v>
      </c>
      <c r="H32" t="s">
        <v>307</v>
      </c>
    </row>
    <row r="33" spans="1:8" x14ac:dyDescent="0.25">
      <c r="A33" t="s">
        <v>246</v>
      </c>
      <c r="B33" t="s">
        <v>33</v>
      </c>
      <c r="H33" t="s">
        <v>308</v>
      </c>
    </row>
    <row r="34" spans="1:8" x14ac:dyDescent="0.25">
      <c r="A34" t="s">
        <v>247</v>
      </c>
      <c r="B34" t="s">
        <v>33</v>
      </c>
      <c r="H34" t="s">
        <v>309</v>
      </c>
    </row>
    <row r="35" spans="1:8" x14ac:dyDescent="0.25">
      <c r="A35" t="s">
        <v>248</v>
      </c>
      <c r="B35" t="s">
        <v>33</v>
      </c>
      <c r="H35" t="s">
        <v>310</v>
      </c>
    </row>
    <row r="36" spans="1:8" x14ac:dyDescent="0.25">
      <c r="A36" t="s">
        <v>249</v>
      </c>
      <c r="B36" t="s">
        <v>34</v>
      </c>
      <c r="H36" t="s">
        <v>311</v>
      </c>
    </row>
    <row r="37" spans="1:8" x14ac:dyDescent="0.25">
      <c r="A37" t="s">
        <v>342</v>
      </c>
      <c r="B37" t="s">
        <v>33</v>
      </c>
      <c r="H37" t="s">
        <v>343</v>
      </c>
    </row>
    <row r="38" spans="1:8" x14ac:dyDescent="0.25">
      <c r="A38" t="s">
        <v>230</v>
      </c>
      <c r="B38" t="s">
        <v>33</v>
      </c>
      <c r="H38" t="s">
        <v>292</v>
      </c>
    </row>
    <row r="39" spans="1:8" x14ac:dyDescent="0.25">
      <c r="A39" t="s">
        <v>250</v>
      </c>
      <c r="B39" t="s">
        <v>33</v>
      </c>
      <c r="H39" t="s">
        <v>312</v>
      </c>
    </row>
    <row r="40" spans="1:8" x14ac:dyDescent="0.25">
      <c r="A40" t="s">
        <v>251</v>
      </c>
      <c r="B40" t="s">
        <v>33</v>
      </c>
      <c r="H40" t="s">
        <v>313</v>
      </c>
    </row>
    <row r="41" spans="1:8" x14ac:dyDescent="0.25">
      <c r="A41" t="s">
        <v>252</v>
      </c>
      <c r="B41" t="s">
        <v>33</v>
      </c>
      <c r="H41" t="s">
        <v>314</v>
      </c>
    </row>
    <row r="42" spans="1:8" x14ac:dyDescent="0.25">
      <c r="A42" t="s">
        <v>253</v>
      </c>
      <c r="B42" t="s">
        <v>163</v>
      </c>
      <c r="H42" t="s">
        <v>315</v>
      </c>
    </row>
    <row r="43" spans="1:8" x14ac:dyDescent="0.25">
      <c r="A43" t="s">
        <v>254</v>
      </c>
      <c r="B43" t="s">
        <v>163</v>
      </c>
      <c r="H43" t="s">
        <v>316</v>
      </c>
    </row>
    <row r="44" spans="1:8" x14ac:dyDescent="0.25">
      <c r="A44" t="s">
        <v>255</v>
      </c>
      <c r="B44" t="s">
        <v>163</v>
      </c>
      <c r="H44" t="s">
        <v>317</v>
      </c>
    </row>
    <row r="45" spans="1:8" x14ac:dyDescent="0.25">
      <c r="A45" t="s">
        <v>256</v>
      </c>
      <c r="B45" t="s">
        <v>163</v>
      </c>
      <c r="H45" t="s">
        <v>318</v>
      </c>
    </row>
    <row r="46" spans="1:8" x14ac:dyDescent="0.25">
      <c r="A46" t="s">
        <v>257</v>
      </c>
      <c r="B46" t="s">
        <v>33</v>
      </c>
      <c r="H46" t="s">
        <v>319</v>
      </c>
    </row>
    <row r="47" spans="1:8" x14ac:dyDescent="0.25">
      <c r="A47" t="s">
        <v>258</v>
      </c>
      <c r="B47" t="s">
        <v>33</v>
      </c>
      <c r="H47" t="s">
        <v>320</v>
      </c>
    </row>
    <row r="48" spans="1:8" x14ac:dyDescent="0.25">
      <c r="A48" t="s">
        <v>259</v>
      </c>
      <c r="B48" t="s">
        <v>164</v>
      </c>
      <c r="H48" t="s">
        <v>344</v>
      </c>
    </row>
    <row r="49" spans="1:8" x14ac:dyDescent="0.25">
      <c r="A49" t="s">
        <v>260</v>
      </c>
      <c r="B49" t="s">
        <v>33</v>
      </c>
      <c r="H49" t="s">
        <v>321</v>
      </c>
    </row>
    <row r="50" spans="1:8" x14ac:dyDescent="0.25">
      <c r="A50" t="s">
        <v>261</v>
      </c>
      <c r="B50" t="s">
        <v>33</v>
      </c>
      <c r="H50" t="s">
        <v>322</v>
      </c>
    </row>
    <row r="51" spans="1:8" x14ac:dyDescent="0.25">
      <c r="A51" t="s">
        <v>262</v>
      </c>
      <c r="B51" t="s">
        <v>33</v>
      </c>
      <c r="H51" t="s">
        <v>323</v>
      </c>
    </row>
    <row r="52" spans="1:8" x14ac:dyDescent="0.25">
      <c r="A52" t="s">
        <v>263</v>
      </c>
      <c r="B52" t="s">
        <v>33</v>
      </c>
      <c r="H52" t="s">
        <v>324</v>
      </c>
    </row>
    <row r="53" spans="1:8" x14ac:dyDescent="0.25">
      <c r="A53" t="s">
        <v>264</v>
      </c>
      <c r="B53" t="s">
        <v>33</v>
      </c>
      <c r="H53" t="s">
        <v>325</v>
      </c>
    </row>
    <row r="54" spans="1:8" x14ac:dyDescent="0.25">
      <c r="A54" t="s">
        <v>265</v>
      </c>
      <c r="B54" t="s">
        <v>33</v>
      </c>
      <c r="H54" t="s">
        <v>326</v>
      </c>
    </row>
    <row r="55" spans="1:8" x14ac:dyDescent="0.25">
      <c r="A55" t="s">
        <v>266</v>
      </c>
      <c r="B55" t="s">
        <v>33</v>
      </c>
      <c r="H55" t="s">
        <v>327</v>
      </c>
    </row>
    <row r="56" spans="1:8" x14ac:dyDescent="0.25">
      <c r="A56" t="s">
        <v>267</v>
      </c>
      <c r="B56" t="s">
        <v>163</v>
      </c>
      <c r="H56" t="s">
        <v>328</v>
      </c>
    </row>
    <row r="57" spans="1:8" x14ac:dyDescent="0.25">
      <c r="A57" t="s">
        <v>268</v>
      </c>
      <c r="B57" t="s">
        <v>33</v>
      </c>
      <c r="H57" t="s">
        <v>329</v>
      </c>
    </row>
    <row r="58" spans="1:8" x14ac:dyDescent="0.25">
      <c r="A58" t="s">
        <v>269</v>
      </c>
      <c r="B58" t="s">
        <v>163</v>
      </c>
      <c r="H58" t="s">
        <v>330</v>
      </c>
    </row>
    <row r="59" spans="1:8" x14ac:dyDescent="0.25">
      <c r="A59" t="s">
        <v>270</v>
      </c>
      <c r="B59" t="s">
        <v>33</v>
      </c>
      <c r="H59" t="s">
        <v>331</v>
      </c>
    </row>
    <row r="60" spans="1:8" x14ac:dyDescent="0.25">
      <c r="A60" t="s">
        <v>271</v>
      </c>
      <c r="B60" t="s">
        <v>33</v>
      </c>
      <c r="H60" t="s">
        <v>332</v>
      </c>
    </row>
    <row r="61" spans="1:8" x14ac:dyDescent="0.25">
      <c r="A61" t="s">
        <v>272</v>
      </c>
      <c r="B61" t="s">
        <v>33</v>
      </c>
      <c r="H61" t="s">
        <v>333</v>
      </c>
    </row>
    <row r="62" spans="1:8" x14ac:dyDescent="0.25">
      <c r="A62" t="s">
        <v>273</v>
      </c>
      <c r="B62" t="s">
        <v>33</v>
      </c>
      <c r="H62" t="s">
        <v>334</v>
      </c>
    </row>
    <row r="63" spans="1:8" x14ac:dyDescent="0.25">
      <c r="A63" t="s">
        <v>274</v>
      </c>
      <c r="B63" t="s">
        <v>34</v>
      </c>
      <c r="H63" t="s">
        <v>335</v>
      </c>
    </row>
    <row r="64" spans="1:8" x14ac:dyDescent="0.25">
      <c r="A64" t="s">
        <v>275</v>
      </c>
      <c r="B64" t="s">
        <v>33</v>
      </c>
      <c r="H64" t="s">
        <v>336</v>
      </c>
    </row>
    <row r="65" spans="1:8" x14ac:dyDescent="0.25">
      <c r="A65" t="s">
        <v>276</v>
      </c>
      <c r="B65" t="s">
        <v>34</v>
      </c>
      <c r="H65" t="s">
        <v>337</v>
      </c>
    </row>
    <row r="66" spans="1:8" x14ac:dyDescent="0.25">
      <c r="A66" t="s">
        <v>277</v>
      </c>
      <c r="B66" t="s">
        <v>33</v>
      </c>
      <c r="H66" t="s">
        <v>338</v>
      </c>
    </row>
    <row r="67" spans="1:8" x14ac:dyDescent="0.25">
      <c r="A67" t="s">
        <v>278</v>
      </c>
      <c r="B67" t="s">
        <v>34</v>
      </c>
      <c r="H67" t="s">
        <v>339</v>
      </c>
    </row>
    <row r="68" spans="1:8" x14ac:dyDescent="0.25">
      <c r="A68" t="s">
        <v>279</v>
      </c>
      <c r="B68" t="s">
        <v>33</v>
      </c>
      <c r="H68" t="s">
        <v>340</v>
      </c>
    </row>
    <row r="69" spans="1:8" x14ac:dyDescent="0.25">
      <c r="A69" t="s">
        <v>280</v>
      </c>
      <c r="B69" t="s">
        <v>164</v>
      </c>
      <c r="H69" t="s">
        <v>341</v>
      </c>
    </row>
    <row r="70" spans="1:8" x14ac:dyDescent="0.25">
      <c r="H70" t="s">
        <v>5</v>
      </c>
    </row>
    <row r="71" spans="1:8" x14ac:dyDescent="0.25">
      <c r="H71" t="s">
        <v>10</v>
      </c>
    </row>
    <row r="72" spans="1:8" x14ac:dyDescent="0.25">
      <c r="H72" t="s">
        <v>104</v>
      </c>
    </row>
    <row r="73" spans="1:8" x14ac:dyDescent="0.25">
      <c r="H73" t="s">
        <v>105</v>
      </c>
    </row>
    <row r="74" spans="1:8" x14ac:dyDescent="0.25">
      <c r="H74" t="s">
        <v>11</v>
      </c>
    </row>
    <row r="75" spans="1:8" x14ac:dyDescent="0.25">
      <c r="H75" t="str">
        <f ca="1">"LOCATION '" &amp; Tablelist!G7 &amp; Tablelist!G8 &amp; B2 &amp; Tablelist!G9 &amp; "'"</f>
        <v>LOCATION '/data/insight/cio/myhrschd/demand_delta'</v>
      </c>
    </row>
    <row r="76" spans="1:8" x14ac:dyDescent="0.25">
      <c r="H76" t="s">
        <v>12</v>
      </c>
    </row>
  </sheetData>
  <dataValidations count="1">
    <dataValidation type="list" allowBlank="1" showInputMessage="1" showErrorMessage="1" sqref="A40:A41" xr:uid="{999FCEB6-B3C5-4D9C-87A8-101AB06BC290}">
      <formula1>"Column;Partition"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9553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42D4F-B522-4BBD-8E21-CEF27386B98B}">
  <sheetPr codeName="Sheet57"/>
  <dimension ref="A1:H68"/>
  <sheetViews>
    <sheetView workbookViewId="0">
      <selection activeCell="H2" sqref="H2"/>
    </sheetView>
  </sheetViews>
  <sheetFormatPr defaultRowHeight="15" x14ac:dyDescent="0.25"/>
  <cols>
    <col min="1" max="1" width="22.42578125" bestFit="1" customWidth="1"/>
    <col min="2" max="2" width="24" bestFit="1" customWidth="1"/>
    <col min="3" max="4" width="8.85546875" customWidth="1"/>
  </cols>
  <sheetData>
    <row r="1" spans="1:8" ht="29.45" customHeight="1" x14ac:dyDescent="0.25"/>
    <row r="2" spans="1:8" x14ac:dyDescent="0.25">
      <c r="A2" s="1" t="s">
        <v>0</v>
      </c>
      <c r="B2" s="2" t="str">
        <f ca="1">MID(CELL("filename",A1),FIND("]",CELL("filename",A1))+1,999)</f>
        <v>supply</v>
      </c>
      <c r="H2" t="str">
        <f ca="1">"ALTER TABLE " &amp; Tablelist!G5 &amp; "." &amp; Tablelist!G8 &amp; B2 &amp; Tablelist!G9 &amp; " SET TBLPROPERTIES('EXTERNAL'='False');"</f>
        <v>ALTER TABLE myhrschd_insight_9376.supply_delta SET TBLPROPERTIES('EXTERNAL'='False');</v>
      </c>
    </row>
    <row r="3" spans="1:8" x14ac:dyDescent="0.25">
      <c r="A3" s="1"/>
      <c r="B3" s="2"/>
      <c r="H3" t="str">
        <f ca="1">"DROP TABLE " &amp; Tablelist!G5 &amp; "." &amp; Tablelist!G8 &amp; B2 &amp; Tablelist!G9 &amp; ";"</f>
        <v>DROP TABLE myhrschd_insight_9376.supply_delta;</v>
      </c>
    </row>
    <row r="4" spans="1:8" x14ac:dyDescent="0.25">
      <c r="A4" s="1"/>
      <c r="B4" s="2"/>
    </row>
    <row r="5" spans="1:8" x14ac:dyDescent="0.25">
      <c r="A5" s="1" t="s">
        <v>1</v>
      </c>
      <c r="B5" s="1" t="s">
        <v>6</v>
      </c>
      <c r="C5" s="3" t="s">
        <v>9</v>
      </c>
      <c r="D5" s="3" t="s">
        <v>6</v>
      </c>
      <c r="H5" t="str">
        <f ca="1">"create " &amp; Tablelist!G6 &amp; " table " &amp; Tablelist!G5 &amp; "." &amp; Tablelist!G8 &amp; B2  &amp; Tablelist!G9&amp; "("</f>
        <v>create external table myhrschd_insight_9376.supply_delta(</v>
      </c>
    </row>
    <row r="6" spans="1:8" x14ac:dyDescent="0.25">
      <c r="A6" t="s">
        <v>106</v>
      </c>
      <c r="B6" t="s">
        <v>162</v>
      </c>
      <c r="H6" t="s">
        <v>166</v>
      </c>
    </row>
    <row r="7" spans="1:8" x14ac:dyDescent="0.25">
      <c r="A7" t="s">
        <v>107</v>
      </c>
      <c r="B7" t="s">
        <v>33</v>
      </c>
      <c r="H7" t="s">
        <v>167</v>
      </c>
    </row>
    <row r="8" spans="1:8" x14ac:dyDescent="0.25">
      <c r="A8" t="s">
        <v>108</v>
      </c>
      <c r="B8" t="s">
        <v>34</v>
      </c>
      <c r="H8" t="s">
        <v>168</v>
      </c>
    </row>
    <row r="9" spans="1:8" x14ac:dyDescent="0.25">
      <c r="A9" t="s">
        <v>109</v>
      </c>
      <c r="B9" t="s">
        <v>35</v>
      </c>
      <c r="H9" t="s">
        <v>169</v>
      </c>
    </row>
    <row r="10" spans="1:8" x14ac:dyDescent="0.25">
      <c r="A10" t="s">
        <v>110</v>
      </c>
      <c r="B10" t="s">
        <v>33</v>
      </c>
      <c r="H10" t="s">
        <v>170</v>
      </c>
    </row>
    <row r="11" spans="1:8" x14ac:dyDescent="0.25">
      <c r="A11" t="s">
        <v>111</v>
      </c>
      <c r="B11" t="s">
        <v>34</v>
      </c>
      <c r="H11" t="s">
        <v>171</v>
      </c>
    </row>
    <row r="12" spans="1:8" x14ac:dyDescent="0.25">
      <c r="A12" t="s">
        <v>112</v>
      </c>
      <c r="B12" t="s">
        <v>33</v>
      </c>
      <c r="H12" t="s">
        <v>172</v>
      </c>
    </row>
    <row r="13" spans="1:8" x14ac:dyDescent="0.25">
      <c r="A13" t="s">
        <v>113</v>
      </c>
      <c r="B13" t="s">
        <v>33</v>
      </c>
      <c r="H13" t="s">
        <v>173</v>
      </c>
    </row>
    <row r="14" spans="1:8" x14ac:dyDescent="0.25">
      <c r="A14" t="s">
        <v>114</v>
      </c>
      <c r="B14" t="s">
        <v>34</v>
      </c>
      <c r="H14" t="s">
        <v>174</v>
      </c>
    </row>
    <row r="15" spans="1:8" x14ac:dyDescent="0.25">
      <c r="A15" t="s">
        <v>115</v>
      </c>
      <c r="B15" t="s">
        <v>33</v>
      </c>
      <c r="H15" t="s">
        <v>175</v>
      </c>
    </row>
    <row r="16" spans="1:8" x14ac:dyDescent="0.25">
      <c r="A16" t="s">
        <v>116</v>
      </c>
      <c r="B16" t="s">
        <v>33</v>
      </c>
      <c r="H16" t="s">
        <v>176</v>
      </c>
    </row>
    <row r="17" spans="1:8" x14ac:dyDescent="0.25">
      <c r="A17" t="s">
        <v>117</v>
      </c>
      <c r="B17" t="s">
        <v>163</v>
      </c>
      <c r="H17" t="s">
        <v>177</v>
      </c>
    </row>
    <row r="18" spans="1:8" x14ac:dyDescent="0.25">
      <c r="A18" t="s">
        <v>118</v>
      </c>
      <c r="B18" t="s">
        <v>33</v>
      </c>
      <c r="H18" t="s">
        <v>178</v>
      </c>
    </row>
    <row r="19" spans="1:8" x14ac:dyDescent="0.25">
      <c r="A19" t="s">
        <v>119</v>
      </c>
      <c r="B19" t="s">
        <v>33</v>
      </c>
      <c r="H19" t="s">
        <v>179</v>
      </c>
    </row>
    <row r="20" spans="1:8" x14ac:dyDescent="0.25">
      <c r="A20" t="s">
        <v>120</v>
      </c>
      <c r="B20" t="s">
        <v>33</v>
      </c>
      <c r="H20" t="s">
        <v>180</v>
      </c>
    </row>
    <row r="21" spans="1:8" x14ac:dyDescent="0.25">
      <c r="A21" t="s">
        <v>121</v>
      </c>
      <c r="B21" t="s">
        <v>33</v>
      </c>
      <c r="H21" t="s">
        <v>181</v>
      </c>
    </row>
    <row r="22" spans="1:8" x14ac:dyDescent="0.25">
      <c r="A22" t="s">
        <v>122</v>
      </c>
      <c r="B22" t="s">
        <v>33</v>
      </c>
      <c r="H22" t="s">
        <v>182</v>
      </c>
    </row>
    <row r="23" spans="1:8" x14ac:dyDescent="0.25">
      <c r="A23" t="s">
        <v>123</v>
      </c>
      <c r="B23" t="s">
        <v>33</v>
      </c>
      <c r="H23" t="s">
        <v>183</v>
      </c>
    </row>
    <row r="24" spans="1:8" x14ac:dyDescent="0.25">
      <c r="A24" t="s">
        <v>124</v>
      </c>
      <c r="B24" t="s">
        <v>33</v>
      </c>
      <c r="H24" t="s">
        <v>184</v>
      </c>
    </row>
    <row r="25" spans="1:8" x14ac:dyDescent="0.25">
      <c r="A25" t="s">
        <v>125</v>
      </c>
      <c r="B25" t="s">
        <v>33</v>
      </c>
      <c r="H25" t="s">
        <v>185</v>
      </c>
    </row>
    <row r="26" spans="1:8" x14ac:dyDescent="0.25">
      <c r="A26" t="s">
        <v>126</v>
      </c>
      <c r="B26" t="s">
        <v>33</v>
      </c>
      <c r="H26" t="s">
        <v>186</v>
      </c>
    </row>
    <row r="27" spans="1:8" x14ac:dyDescent="0.25">
      <c r="A27" t="s">
        <v>127</v>
      </c>
      <c r="B27" t="s">
        <v>33</v>
      </c>
      <c r="H27" t="s">
        <v>187</v>
      </c>
    </row>
    <row r="28" spans="1:8" x14ac:dyDescent="0.25">
      <c r="A28" t="s">
        <v>128</v>
      </c>
      <c r="B28" t="s">
        <v>33</v>
      </c>
      <c r="H28" t="s">
        <v>188</v>
      </c>
    </row>
    <row r="29" spans="1:8" x14ac:dyDescent="0.25">
      <c r="A29" t="s">
        <v>129</v>
      </c>
      <c r="B29" t="s">
        <v>33</v>
      </c>
      <c r="H29" t="s">
        <v>189</v>
      </c>
    </row>
    <row r="30" spans="1:8" x14ac:dyDescent="0.25">
      <c r="A30" t="s">
        <v>130</v>
      </c>
      <c r="B30" t="s">
        <v>33</v>
      </c>
      <c r="H30" t="s">
        <v>190</v>
      </c>
    </row>
    <row r="31" spans="1:8" x14ac:dyDescent="0.25">
      <c r="A31" t="s">
        <v>131</v>
      </c>
      <c r="B31" t="s">
        <v>33</v>
      </c>
      <c r="H31" t="s">
        <v>191</v>
      </c>
    </row>
    <row r="32" spans="1:8" x14ac:dyDescent="0.25">
      <c r="A32" t="s">
        <v>132</v>
      </c>
      <c r="B32" t="s">
        <v>33</v>
      </c>
      <c r="H32" t="s">
        <v>192</v>
      </c>
    </row>
    <row r="33" spans="1:8" x14ac:dyDescent="0.25">
      <c r="A33" t="s">
        <v>133</v>
      </c>
      <c r="B33" t="s">
        <v>33</v>
      </c>
      <c r="H33" t="s">
        <v>193</v>
      </c>
    </row>
    <row r="34" spans="1:8" x14ac:dyDescent="0.25">
      <c r="A34" t="s">
        <v>134</v>
      </c>
      <c r="B34" t="s">
        <v>33</v>
      </c>
      <c r="H34" t="s">
        <v>194</v>
      </c>
    </row>
    <row r="35" spans="1:8" x14ac:dyDescent="0.25">
      <c r="A35" t="s">
        <v>135</v>
      </c>
      <c r="B35" t="s">
        <v>33</v>
      </c>
      <c r="H35" t="s">
        <v>195</v>
      </c>
    </row>
    <row r="36" spans="1:8" x14ac:dyDescent="0.25">
      <c r="A36" t="s">
        <v>136</v>
      </c>
      <c r="B36" t="s">
        <v>35</v>
      </c>
      <c r="H36" t="s">
        <v>196</v>
      </c>
    </row>
    <row r="37" spans="1:8" x14ac:dyDescent="0.25">
      <c r="A37" t="s">
        <v>137</v>
      </c>
      <c r="B37" t="s">
        <v>33</v>
      </c>
      <c r="H37" t="s">
        <v>197</v>
      </c>
    </row>
    <row r="38" spans="1:8" x14ac:dyDescent="0.25">
      <c r="A38" t="s">
        <v>138</v>
      </c>
      <c r="B38" t="s">
        <v>33</v>
      </c>
      <c r="H38" t="s">
        <v>198</v>
      </c>
    </row>
    <row r="39" spans="1:8" x14ac:dyDescent="0.25">
      <c r="A39" t="s">
        <v>139</v>
      </c>
      <c r="B39" t="s">
        <v>33</v>
      </c>
      <c r="H39" t="s">
        <v>199</v>
      </c>
    </row>
    <row r="40" spans="1:8" x14ac:dyDescent="0.25">
      <c r="A40" t="s">
        <v>140</v>
      </c>
      <c r="B40" t="s">
        <v>35</v>
      </c>
      <c r="H40" t="s">
        <v>200</v>
      </c>
    </row>
    <row r="41" spans="1:8" x14ac:dyDescent="0.25">
      <c r="A41" t="s">
        <v>141</v>
      </c>
      <c r="B41" t="s">
        <v>33</v>
      </c>
      <c r="H41" t="s">
        <v>201</v>
      </c>
    </row>
    <row r="42" spans="1:8" x14ac:dyDescent="0.25">
      <c r="A42" t="s">
        <v>142</v>
      </c>
      <c r="B42" t="s">
        <v>34</v>
      </c>
      <c r="H42" t="s">
        <v>202</v>
      </c>
    </row>
    <row r="43" spans="1:8" x14ac:dyDescent="0.25">
      <c r="A43" t="s">
        <v>143</v>
      </c>
      <c r="B43" t="s">
        <v>33</v>
      </c>
      <c r="H43" t="s">
        <v>203</v>
      </c>
    </row>
    <row r="44" spans="1:8" x14ac:dyDescent="0.25">
      <c r="A44" t="s">
        <v>144</v>
      </c>
      <c r="B44" t="s">
        <v>33</v>
      </c>
      <c r="H44" t="s">
        <v>345</v>
      </c>
    </row>
    <row r="45" spans="1:8" x14ac:dyDescent="0.25">
      <c r="A45" t="s">
        <v>145</v>
      </c>
      <c r="B45" t="s">
        <v>33</v>
      </c>
      <c r="H45" t="s">
        <v>346</v>
      </c>
    </row>
    <row r="46" spans="1:8" x14ac:dyDescent="0.25">
      <c r="A46" t="s">
        <v>146</v>
      </c>
      <c r="B46" t="s">
        <v>33</v>
      </c>
      <c r="H46" t="s">
        <v>204</v>
      </c>
    </row>
    <row r="47" spans="1:8" x14ac:dyDescent="0.25">
      <c r="A47" t="s">
        <v>147</v>
      </c>
      <c r="B47" t="s">
        <v>33</v>
      </c>
      <c r="H47" t="s">
        <v>205</v>
      </c>
    </row>
    <row r="48" spans="1:8" x14ac:dyDescent="0.25">
      <c r="A48" t="s">
        <v>148</v>
      </c>
      <c r="B48" t="s">
        <v>33</v>
      </c>
      <c r="H48" t="s">
        <v>206</v>
      </c>
    </row>
    <row r="49" spans="1:8" x14ac:dyDescent="0.25">
      <c r="A49" t="s">
        <v>149</v>
      </c>
      <c r="B49" t="s">
        <v>33</v>
      </c>
      <c r="H49" t="s">
        <v>207</v>
      </c>
    </row>
    <row r="50" spans="1:8" x14ac:dyDescent="0.25">
      <c r="A50" t="s">
        <v>150</v>
      </c>
      <c r="B50" t="s">
        <v>163</v>
      </c>
      <c r="H50" t="s">
        <v>208</v>
      </c>
    </row>
    <row r="51" spans="1:8" x14ac:dyDescent="0.25">
      <c r="A51" t="s">
        <v>151</v>
      </c>
      <c r="B51" t="s">
        <v>33</v>
      </c>
      <c r="H51" t="s">
        <v>347</v>
      </c>
    </row>
    <row r="52" spans="1:8" x14ac:dyDescent="0.25">
      <c r="A52" t="s">
        <v>152</v>
      </c>
      <c r="B52" t="s">
        <v>33</v>
      </c>
      <c r="H52" t="s">
        <v>209</v>
      </c>
    </row>
    <row r="53" spans="1:8" x14ac:dyDescent="0.25">
      <c r="A53" t="s">
        <v>153</v>
      </c>
      <c r="B53" t="s">
        <v>34</v>
      </c>
      <c r="H53" t="s">
        <v>210</v>
      </c>
    </row>
    <row r="54" spans="1:8" x14ac:dyDescent="0.25">
      <c r="A54" t="s">
        <v>154</v>
      </c>
      <c r="B54" t="s">
        <v>34</v>
      </c>
      <c r="H54" t="s">
        <v>211</v>
      </c>
    </row>
    <row r="55" spans="1:8" x14ac:dyDescent="0.25">
      <c r="A55" t="s">
        <v>155</v>
      </c>
      <c r="B55" t="s">
        <v>33</v>
      </c>
      <c r="H55" t="s">
        <v>212</v>
      </c>
    </row>
    <row r="56" spans="1:8" x14ac:dyDescent="0.25">
      <c r="A56" t="s">
        <v>156</v>
      </c>
      <c r="B56" t="s">
        <v>33</v>
      </c>
      <c r="H56" t="s">
        <v>213</v>
      </c>
    </row>
    <row r="57" spans="1:8" x14ac:dyDescent="0.25">
      <c r="A57" t="s">
        <v>157</v>
      </c>
      <c r="B57" t="s">
        <v>33</v>
      </c>
      <c r="H57" t="s">
        <v>214</v>
      </c>
    </row>
    <row r="58" spans="1:8" x14ac:dyDescent="0.25">
      <c r="A58" t="s">
        <v>158</v>
      </c>
      <c r="B58" t="s">
        <v>33</v>
      </c>
      <c r="H58" t="s">
        <v>215</v>
      </c>
    </row>
    <row r="59" spans="1:8" x14ac:dyDescent="0.25">
      <c r="A59" t="s">
        <v>159</v>
      </c>
      <c r="B59" t="s">
        <v>33</v>
      </c>
      <c r="H59" t="s">
        <v>216</v>
      </c>
    </row>
    <row r="60" spans="1:8" x14ac:dyDescent="0.25">
      <c r="A60" t="s">
        <v>160</v>
      </c>
      <c r="B60" t="s">
        <v>34</v>
      </c>
      <c r="H60" t="s">
        <v>217</v>
      </c>
    </row>
    <row r="61" spans="1:8" x14ac:dyDescent="0.25">
      <c r="A61" t="s">
        <v>161</v>
      </c>
      <c r="B61" t="s">
        <v>164</v>
      </c>
      <c r="H61" t="s">
        <v>218</v>
      </c>
    </row>
    <row r="62" spans="1:8" x14ac:dyDescent="0.25">
      <c r="H62" t="s">
        <v>5</v>
      </c>
    </row>
    <row r="63" spans="1:8" x14ac:dyDescent="0.25">
      <c r="H63" t="s">
        <v>10</v>
      </c>
    </row>
    <row r="64" spans="1:8" x14ac:dyDescent="0.25">
      <c r="H64" t="s">
        <v>104</v>
      </c>
    </row>
    <row r="65" spans="8:8" x14ac:dyDescent="0.25">
      <c r="H65" t="s">
        <v>105</v>
      </c>
    </row>
    <row r="66" spans="8:8" x14ac:dyDescent="0.25">
      <c r="H66" t="s">
        <v>11</v>
      </c>
    </row>
    <row r="67" spans="8:8" x14ac:dyDescent="0.25">
      <c r="H67" t="str">
        <f ca="1">"LOCATION '" &amp; Tablelist!G7 &amp; Tablelist!G8 &amp; B2 &amp; Tablelist!G9 &amp; "'"</f>
        <v>LOCATION '/data/insight/cio/myhrschd/supply_delta'</v>
      </c>
    </row>
    <row r="68" spans="8:8" x14ac:dyDescent="0.25">
      <c r="H68" t="s">
        <v>12</v>
      </c>
    </row>
  </sheetData>
  <dataValidations disablePrompts="1" count="1">
    <dataValidation type="list" allowBlank="1" showInputMessage="1" showErrorMessage="1" sqref="A37:A38" xr:uid="{3D4C7F03-2364-46BC-AF14-0157A96CDF33}">
      <formula1>"Column;Partition"</formula1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5457" r:id="rId4" name="Button 1">
              <controlPr defaultSize="0" print="0" autoFill="0" autoPict="0" macro="[0]!GenerateDDL">
                <anchor moveWithCells="1" sizeWithCells="1">
                  <from>
                    <xdr:col>3</xdr:col>
                    <xdr:colOff>600075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E27D-7A31-4404-AC72-06D2D207A3F7}">
  <sheetPr codeName="Sheet5"/>
  <dimension ref="A1:E64"/>
  <sheetViews>
    <sheetView workbookViewId="0">
      <selection activeCell="D38" sqref="D38"/>
    </sheetView>
  </sheetViews>
  <sheetFormatPr defaultRowHeight="15" x14ac:dyDescent="0.25"/>
  <cols>
    <col min="1" max="1" width="33.42578125" bestFit="1" customWidth="1"/>
    <col min="2" max="2" width="33.42578125" style="7" bestFit="1" customWidth="1"/>
    <col min="3" max="3" width="8.85546875" style="7"/>
    <col min="4" max="4" width="14.42578125" style="6" customWidth="1"/>
    <col min="5" max="5" width="8.85546875" style="6"/>
  </cols>
  <sheetData>
    <row r="1" spans="1:5" x14ac:dyDescent="0.25">
      <c r="A1" s="12" t="s">
        <v>39</v>
      </c>
      <c r="B1" s="7" t="str">
        <f>SUBSTITUTE(SUBSTITUTE(TRIM(A1), "`", ""), ",", "")</f>
        <v>index bigint</v>
      </c>
      <c r="C1" s="7">
        <f>FIND(" ", B1)</f>
        <v>6</v>
      </c>
      <c r="D1" s="6" t="str">
        <f>TRIM(LEFT(B1,C1))</f>
        <v>index</v>
      </c>
      <c r="E1" s="6" t="str">
        <f>TRIM(MID(B1,C1,LEN(B1)))</f>
        <v>bigint</v>
      </c>
    </row>
    <row r="2" spans="1:5" x14ac:dyDescent="0.25">
      <c r="A2" s="12" t="s">
        <v>40</v>
      </c>
      <c r="B2" s="7" t="str">
        <f t="shared" ref="B2:B40" si="0">SUBSTITUTE(SUBSTITUTE(TRIM(A2), "`", ""), ",", "")</f>
        <v>additional_role_info_1 string</v>
      </c>
      <c r="C2" s="7">
        <f t="shared" ref="C2:C40" si="1">FIND(" ", B2)</f>
        <v>23</v>
      </c>
      <c r="D2" s="6" t="str">
        <f t="shared" ref="D2:D40" si="2">TRIM(LEFT(B2,C2))</f>
        <v>additional_role_info_1</v>
      </c>
      <c r="E2" s="6" t="str">
        <f t="shared" ref="E2:E37" si="3">TRIM(MID(B2,C2,LEN(B2)))</f>
        <v>string</v>
      </c>
    </row>
    <row r="3" spans="1:5" x14ac:dyDescent="0.25">
      <c r="A3" s="12" t="s">
        <v>41</v>
      </c>
      <c r="B3" s="7" t="str">
        <f t="shared" si="0"/>
        <v>additional_role_info_2 string</v>
      </c>
      <c r="C3" s="7">
        <f t="shared" si="1"/>
        <v>23</v>
      </c>
      <c r="D3" s="6" t="str">
        <f t="shared" si="2"/>
        <v>additional_role_info_2</v>
      </c>
      <c r="E3" s="6" t="str">
        <f t="shared" si="3"/>
        <v>string</v>
      </c>
    </row>
    <row r="4" spans="1:5" x14ac:dyDescent="0.25">
      <c r="A4" s="12" t="s">
        <v>42</v>
      </c>
      <c r="B4" s="7" t="str">
        <f t="shared" si="0"/>
        <v>afe_path string</v>
      </c>
      <c r="C4" s="7">
        <f t="shared" si="1"/>
        <v>9</v>
      </c>
      <c r="D4" s="6" t="str">
        <f t="shared" si="2"/>
        <v>afe_path</v>
      </c>
      <c r="E4" s="6" t="str">
        <f t="shared" si="3"/>
        <v>string</v>
      </c>
    </row>
    <row r="5" spans="1:5" x14ac:dyDescent="0.25">
      <c r="A5" s="12" t="s">
        <v>43</v>
      </c>
      <c r="B5" s="7" t="str">
        <f t="shared" si="0"/>
        <v>assigned_role string</v>
      </c>
      <c r="C5" s="7">
        <f t="shared" si="1"/>
        <v>14</v>
      </c>
      <c r="D5" s="6" t="str">
        <f t="shared" si="2"/>
        <v>assigned_role</v>
      </c>
      <c r="E5" s="6" t="str">
        <f t="shared" si="3"/>
        <v>string</v>
      </c>
    </row>
    <row r="6" spans="1:5" x14ac:dyDescent="0.25">
      <c r="A6" s="12" t="s">
        <v>44</v>
      </c>
      <c r="B6" s="7" t="str">
        <f t="shared" si="0"/>
        <v>assigned_role_priority int</v>
      </c>
      <c r="C6" s="7">
        <f t="shared" si="1"/>
        <v>23</v>
      </c>
      <c r="D6" s="6" t="str">
        <f t="shared" si="2"/>
        <v>assigned_role_priority</v>
      </c>
      <c r="E6" s="6" t="str">
        <f t="shared" si="3"/>
        <v>int</v>
      </c>
    </row>
    <row r="7" spans="1:5" x14ac:dyDescent="0.25">
      <c r="A7" s="12" t="s">
        <v>45</v>
      </c>
      <c r="B7" s="7" t="str">
        <f t="shared" si="0"/>
        <v>assignment_id int</v>
      </c>
      <c r="C7" s="7">
        <f t="shared" si="1"/>
        <v>14</v>
      </c>
      <c r="D7" s="6" t="str">
        <f t="shared" si="2"/>
        <v>assignment_id</v>
      </c>
      <c r="E7" s="6" t="str">
        <f t="shared" si="3"/>
        <v>int</v>
      </c>
    </row>
    <row r="8" spans="1:5" x14ac:dyDescent="0.25">
      <c r="A8" s="12" t="s">
        <v>46</v>
      </c>
      <c r="B8" s="7" t="str">
        <f t="shared" si="0"/>
        <v>booked_resource_id int</v>
      </c>
      <c r="C8" s="7">
        <f t="shared" si="1"/>
        <v>19</v>
      </c>
      <c r="D8" s="6" t="str">
        <f t="shared" si="2"/>
        <v>booked_resource_id</v>
      </c>
      <c r="E8" s="6" t="str">
        <f t="shared" si="3"/>
        <v>int</v>
      </c>
    </row>
    <row r="9" spans="1:5" x14ac:dyDescent="0.25">
      <c r="A9" s="12" t="s">
        <v>47</v>
      </c>
      <c r="B9" s="7" t="str">
        <f t="shared" si="0"/>
        <v>career_track string</v>
      </c>
      <c r="C9" s="7">
        <f t="shared" si="1"/>
        <v>13</v>
      </c>
      <c r="D9" s="6" t="str">
        <f t="shared" si="2"/>
        <v>career_track</v>
      </c>
      <c r="E9" s="6" t="str">
        <f t="shared" si="3"/>
        <v>string</v>
      </c>
    </row>
    <row r="10" spans="1:5" x14ac:dyDescent="0.25">
      <c r="A10" s="12" t="s">
        <v>48</v>
      </c>
      <c r="B10" s="7" t="str">
        <f t="shared" si="0"/>
        <v>client_id int</v>
      </c>
      <c r="C10" s="7">
        <f t="shared" si="1"/>
        <v>10</v>
      </c>
      <c r="D10" s="6" t="str">
        <f t="shared" si="2"/>
        <v>client_id</v>
      </c>
      <c r="E10" s="6" t="str">
        <f t="shared" si="3"/>
        <v>int</v>
      </c>
    </row>
    <row r="11" spans="1:5" x14ac:dyDescent="0.25">
      <c r="A11" s="12" t="s">
        <v>49</v>
      </c>
      <c r="B11" s="7" t="str">
        <f t="shared" si="0"/>
        <v>client_tier string</v>
      </c>
      <c r="C11" s="7">
        <f t="shared" si="1"/>
        <v>12</v>
      </c>
      <c r="D11" s="6" t="str">
        <f t="shared" si="2"/>
        <v>client_tier</v>
      </c>
      <c r="E11" s="6" t="str">
        <f t="shared" si="3"/>
        <v>string</v>
      </c>
    </row>
    <row r="12" spans="1:5" x14ac:dyDescent="0.25">
      <c r="A12" s="12" t="s">
        <v>50</v>
      </c>
      <c r="B12" s="7" t="str">
        <f t="shared" si="0"/>
        <v>ClientNm string</v>
      </c>
      <c r="C12" s="7">
        <f t="shared" si="1"/>
        <v>9</v>
      </c>
      <c r="D12" s="6" t="str">
        <f t="shared" si="2"/>
        <v>ClientNm</v>
      </c>
      <c r="E12" s="6" t="str">
        <f t="shared" si="3"/>
        <v>string</v>
      </c>
    </row>
    <row r="13" spans="1:5" x14ac:dyDescent="0.25">
      <c r="A13" s="12" t="s">
        <v>51</v>
      </c>
      <c r="B13" s="7" t="str">
        <f t="shared" si="0"/>
        <v>ProjectIndustry string</v>
      </c>
      <c r="C13" s="7">
        <f t="shared" si="1"/>
        <v>16</v>
      </c>
      <c r="D13" s="6" t="str">
        <f t="shared" si="2"/>
        <v>ProjectIndustry</v>
      </c>
      <c r="E13" s="6" t="str">
        <f t="shared" si="3"/>
        <v>string</v>
      </c>
    </row>
    <row r="14" spans="1:5" x14ac:dyDescent="0.25">
      <c r="A14" s="12" t="s">
        <v>52</v>
      </c>
      <c r="B14" s="7" t="str">
        <f t="shared" si="0"/>
        <v>common_demand_id int</v>
      </c>
      <c r="C14" s="7">
        <f t="shared" si="1"/>
        <v>17</v>
      </c>
      <c r="D14" s="6" t="str">
        <f t="shared" si="2"/>
        <v>common_demand_id</v>
      </c>
      <c r="E14" s="6" t="str">
        <f t="shared" si="3"/>
        <v>int</v>
      </c>
    </row>
    <row r="15" spans="1:5" x14ac:dyDescent="0.25">
      <c r="A15" s="12" t="s">
        <v>53</v>
      </c>
      <c r="B15" s="7" t="str">
        <f t="shared" si="0"/>
        <v>create_date timestamp</v>
      </c>
      <c r="C15" s="7">
        <f t="shared" si="1"/>
        <v>12</v>
      </c>
      <c r="D15" s="6" t="str">
        <f t="shared" si="2"/>
        <v>create_date</v>
      </c>
      <c r="E15" s="6" t="str">
        <f t="shared" si="3"/>
        <v>timestamp</v>
      </c>
    </row>
    <row r="16" spans="1:5" x14ac:dyDescent="0.25">
      <c r="A16" s="12" t="s">
        <v>54</v>
      </c>
      <c r="B16" s="7" t="str">
        <f t="shared" si="0"/>
        <v>demand_close_date timestamp</v>
      </c>
      <c r="C16" s="7">
        <f t="shared" si="1"/>
        <v>18</v>
      </c>
      <c r="D16" s="6" t="str">
        <f t="shared" si="2"/>
        <v>demand_close_date</v>
      </c>
      <c r="E16" s="6" t="str">
        <f t="shared" si="3"/>
        <v>timestamp</v>
      </c>
    </row>
    <row r="17" spans="1:5" x14ac:dyDescent="0.25">
      <c r="A17" s="12" t="s">
        <v>55</v>
      </c>
      <c r="B17" s="7" t="str">
        <f t="shared" si="0"/>
        <v>demand_source string</v>
      </c>
      <c r="C17" s="7">
        <f t="shared" si="1"/>
        <v>14</v>
      </c>
      <c r="D17" s="6" t="str">
        <f t="shared" si="2"/>
        <v>demand_source</v>
      </c>
      <c r="E17" s="6" t="str">
        <f t="shared" si="3"/>
        <v>string</v>
      </c>
    </row>
    <row r="18" spans="1:5" x14ac:dyDescent="0.25">
      <c r="A18" s="12" t="s">
        <v>56</v>
      </c>
      <c r="B18" s="7" t="str">
        <f t="shared" si="0"/>
        <v>demand_status string</v>
      </c>
      <c r="C18" s="7">
        <f t="shared" si="1"/>
        <v>14</v>
      </c>
      <c r="D18" s="6" t="str">
        <f t="shared" si="2"/>
        <v>demand_status</v>
      </c>
      <c r="E18" s="6" t="str">
        <f t="shared" si="3"/>
        <v>string</v>
      </c>
    </row>
    <row r="19" spans="1:5" x14ac:dyDescent="0.25">
      <c r="A19" s="12" t="s">
        <v>57</v>
      </c>
      <c r="B19" s="7" t="str">
        <f t="shared" si="0"/>
        <v>demandtype string</v>
      </c>
      <c r="C19" s="7">
        <f t="shared" si="1"/>
        <v>11</v>
      </c>
      <c r="D19" s="6" t="str">
        <f t="shared" si="2"/>
        <v>demandtype</v>
      </c>
      <c r="E19" s="6" t="str">
        <f t="shared" si="3"/>
        <v>string</v>
      </c>
    </row>
    <row r="20" spans="1:5" x14ac:dyDescent="0.25">
      <c r="A20" s="12" t="s">
        <v>58</v>
      </c>
      <c r="B20" s="7" t="str">
        <f t="shared" si="0"/>
        <v>expected_fulfillment_date timestamp</v>
      </c>
      <c r="C20" s="7">
        <f t="shared" si="1"/>
        <v>26</v>
      </c>
      <c r="D20" s="6" t="str">
        <f t="shared" si="2"/>
        <v>expected_fulfillment_date</v>
      </c>
      <c r="E20" s="6" t="str">
        <f t="shared" si="3"/>
        <v>timestamp</v>
      </c>
    </row>
    <row r="21" spans="1:5" x14ac:dyDescent="0.25">
      <c r="A21" s="12" t="s">
        <v>59</v>
      </c>
      <c r="B21" s="7" t="str">
        <f t="shared" si="0"/>
        <v>fulfillment_entity_l1 string</v>
      </c>
      <c r="C21" s="7">
        <f t="shared" si="1"/>
        <v>22</v>
      </c>
      <c r="D21" s="6" t="str">
        <f t="shared" si="2"/>
        <v>fulfillment_entity_l1</v>
      </c>
      <c r="E21" s="6" t="str">
        <f t="shared" si="3"/>
        <v>string</v>
      </c>
    </row>
    <row r="22" spans="1:5" x14ac:dyDescent="0.25">
      <c r="A22" s="12" t="s">
        <v>60</v>
      </c>
      <c r="B22" s="7" t="str">
        <f t="shared" si="0"/>
        <v>lcrto double</v>
      </c>
      <c r="C22" s="7">
        <f t="shared" si="1"/>
        <v>6</v>
      </c>
      <c r="D22" s="6" t="str">
        <f t="shared" si="2"/>
        <v>lcrto</v>
      </c>
      <c r="E22" s="6" t="str">
        <f t="shared" si="3"/>
        <v>double</v>
      </c>
    </row>
    <row r="23" spans="1:5" x14ac:dyDescent="0.25">
      <c r="A23" s="12" t="s">
        <v>61</v>
      </c>
      <c r="B23" s="7" t="str">
        <f t="shared" si="0"/>
        <v>lcrfrom double</v>
      </c>
      <c r="C23" s="7">
        <f t="shared" si="1"/>
        <v>8</v>
      </c>
      <c r="D23" s="6" t="str">
        <f t="shared" si="2"/>
        <v>lcrfrom</v>
      </c>
      <c r="E23" s="6" t="str">
        <f t="shared" si="3"/>
        <v>double</v>
      </c>
    </row>
    <row r="24" spans="1:5" x14ac:dyDescent="0.25">
      <c r="A24" s="12" t="s">
        <v>62</v>
      </c>
      <c r="B24" s="7" t="str">
        <f t="shared" si="0"/>
        <v>level_priority int</v>
      </c>
      <c r="C24" s="7">
        <f t="shared" si="1"/>
        <v>15</v>
      </c>
      <c r="D24" s="6" t="str">
        <f t="shared" si="2"/>
        <v>level_priority</v>
      </c>
      <c r="E24" s="6" t="str">
        <f t="shared" si="3"/>
        <v>int</v>
      </c>
    </row>
    <row r="25" spans="1:5" x14ac:dyDescent="0.25">
      <c r="A25" s="12" t="s">
        <v>63</v>
      </c>
      <c r="B25" s="7" t="str">
        <f t="shared" si="0"/>
        <v>location_preference string</v>
      </c>
      <c r="C25" s="7">
        <f t="shared" si="1"/>
        <v>20</v>
      </c>
      <c r="D25" s="6" t="str">
        <f t="shared" si="2"/>
        <v>location_preference</v>
      </c>
      <c r="E25" s="6" t="str">
        <f t="shared" si="3"/>
        <v>string</v>
      </c>
    </row>
    <row r="26" spans="1:5" x14ac:dyDescent="0.25">
      <c r="A26" s="12" t="s">
        <v>64</v>
      </c>
      <c r="B26" s="7" t="str">
        <f t="shared" si="0"/>
        <v>location_preference_priority int</v>
      </c>
      <c r="C26" s="7">
        <f t="shared" si="1"/>
        <v>29</v>
      </c>
      <c r="D26" s="6" t="str">
        <f t="shared" si="2"/>
        <v>location_preference_priority</v>
      </c>
      <c r="E26" s="6" t="str">
        <f t="shared" si="3"/>
        <v>int</v>
      </c>
    </row>
    <row r="27" spans="1:5" x14ac:dyDescent="0.25">
      <c r="A27" s="12" t="s">
        <v>65</v>
      </c>
      <c r="B27" s="7" t="str">
        <f t="shared" si="0"/>
        <v>other_skill_priority int</v>
      </c>
      <c r="C27" s="7">
        <f t="shared" si="1"/>
        <v>21</v>
      </c>
      <c r="D27" s="6" t="str">
        <f t="shared" si="2"/>
        <v>other_skill_priority</v>
      </c>
      <c r="E27" s="6" t="str">
        <f t="shared" si="3"/>
        <v>int</v>
      </c>
    </row>
    <row r="28" spans="1:5" x14ac:dyDescent="0.25">
      <c r="A28" s="12" t="s">
        <v>66</v>
      </c>
      <c r="B28" s="7" t="str">
        <f t="shared" si="0"/>
        <v>primary_skill_priority int</v>
      </c>
      <c r="C28" s="7">
        <f t="shared" si="1"/>
        <v>23</v>
      </c>
      <c r="D28" s="6" t="str">
        <f t="shared" si="2"/>
        <v>primary_skill_priority</v>
      </c>
      <c r="E28" s="6" t="str">
        <f t="shared" si="3"/>
        <v>int</v>
      </c>
    </row>
    <row r="29" spans="1:5" x14ac:dyDescent="0.25">
      <c r="A29" s="12" t="s">
        <v>67</v>
      </c>
      <c r="B29" s="7" t="str">
        <f t="shared" si="0"/>
        <v>project_country string</v>
      </c>
      <c r="C29" s="7">
        <f t="shared" si="1"/>
        <v>16</v>
      </c>
      <c r="D29" s="6" t="str">
        <f t="shared" si="2"/>
        <v>project_country</v>
      </c>
      <c r="E29" s="6" t="str">
        <f t="shared" si="3"/>
        <v>string</v>
      </c>
    </row>
    <row r="30" spans="1:5" x14ac:dyDescent="0.25">
      <c r="A30" s="12" t="s">
        <v>68</v>
      </c>
      <c r="B30" s="7" t="str">
        <f t="shared" si="0"/>
        <v>project_geographic_area string</v>
      </c>
      <c r="C30" s="7">
        <f t="shared" si="1"/>
        <v>24</v>
      </c>
      <c r="D30" s="6" t="str">
        <f t="shared" si="2"/>
        <v>project_geographic_area</v>
      </c>
      <c r="E30" s="6" t="str">
        <f t="shared" si="3"/>
        <v>string</v>
      </c>
    </row>
    <row r="31" spans="1:5" x14ac:dyDescent="0.25">
      <c r="A31" s="12" t="s">
        <v>69</v>
      </c>
      <c r="B31" s="7" t="str">
        <f t="shared" si="0"/>
        <v>project_geographic_unit string</v>
      </c>
      <c r="C31" s="7">
        <f t="shared" si="1"/>
        <v>24</v>
      </c>
      <c r="D31" s="6" t="str">
        <f t="shared" si="2"/>
        <v>project_geographic_unit</v>
      </c>
      <c r="E31" s="6" t="str">
        <f t="shared" si="3"/>
        <v>string</v>
      </c>
    </row>
    <row r="32" spans="1:5" x14ac:dyDescent="0.25">
      <c r="A32" s="12" t="s">
        <v>70</v>
      </c>
      <c r="B32" s="7" t="str">
        <f t="shared" si="0"/>
        <v>project_id int</v>
      </c>
      <c r="C32" s="7">
        <f t="shared" si="1"/>
        <v>11</v>
      </c>
      <c r="D32" s="6" t="str">
        <f t="shared" si="2"/>
        <v>project_id</v>
      </c>
      <c r="E32" s="6" t="str">
        <f t="shared" si="3"/>
        <v>int</v>
      </c>
    </row>
    <row r="33" spans="1:5" x14ac:dyDescent="0.25">
      <c r="A33" s="12" t="s">
        <v>71</v>
      </c>
      <c r="B33" s="7" t="str">
        <f t="shared" si="0"/>
        <v>project_client string</v>
      </c>
      <c r="C33" s="7">
        <f t="shared" si="1"/>
        <v>15</v>
      </c>
      <c r="D33" s="6" t="str">
        <f t="shared" si="2"/>
        <v>project_client</v>
      </c>
      <c r="E33" s="6" t="str">
        <f t="shared" si="3"/>
        <v>string</v>
      </c>
    </row>
    <row r="34" spans="1:5" x14ac:dyDescent="0.25">
      <c r="A34" s="12" t="s">
        <v>72</v>
      </c>
      <c r="B34" s="7" t="str">
        <f t="shared" si="0"/>
        <v>project_metro_city string</v>
      </c>
      <c r="C34" s="7">
        <f t="shared" si="1"/>
        <v>19</v>
      </c>
      <c r="D34" s="6" t="str">
        <f t="shared" si="2"/>
        <v>project_metro_city</v>
      </c>
      <c r="E34" s="6" t="str">
        <f t="shared" si="3"/>
        <v>string</v>
      </c>
    </row>
    <row r="35" spans="1:5" x14ac:dyDescent="0.25">
      <c r="A35" s="12" t="s">
        <v>73</v>
      </c>
      <c r="B35" s="7" t="str">
        <f t="shared" si="0"/>
        <v>role_country string</v>
      </c>
      <c r="C35" s="7">
        <f t="shared" si="1"/>
        <v>13</v>
      </c>
      <c r="D35" s="6" t="str">
        <f t="shared" si="2"/>
        <v>role_country</v>
      </c>
      <c r="E35" s="6" t="str">
        <f t="shared" si="3"/>
        <v>string</v>
      </c>
    </row>
    <row r="36" spans="1:5" x14ac:dyDescent="0.25">
      <c r="A36" s="12" t="s">
        <v>74</v>
      </c>
      <c r="B36" s="7" t="str">
        <f t="shared" si="0"/>
        <v>role_description string</v>
      </c>
      <c r="C36" s="7">
        <f t="shared" si="1"/>
        <v>17</v>
      </c>
      <c r="D36" s="6" t="str">
        <f t="shared" si="2"/>
        <v>role_description</v>
      </c>
      <c r="E36" s="6" t="str">
        <f t="shared" si="3"/>
        <v>string</v>
      </c>
    </row>
    <row r="37" spans="1:5" x14ac:dyDescent="0.25">
      <c r="A37" s="12" t="s">
        <v>75</v>
      </c>
      <c r="B37" s="7" t="str">
        <f t="shared" si="0"/>
        <v>role_end_date timestamp</v>
      </c>
      <c r="C37" s="7">
        <f t="shared" si="1"/>
        <v>14</v>
      </c>
      <c r="D37" s="6" t="str">
        <f t="shared" si="2"/>
        <v>role_end_date</v>
      </c>
      <c r="E37" s="6" t="str">
        <f t="shared" si="3"/>
        <v>timestamp</v>
      </c>
    </row>
    <row r="38" spans="1:5" x14ac:dyDescent="0.25">
      <c r="A38" s="12" t="s">
        <v>76</v>
      </c>
      <c r="B38" s="7" t="str">
        <f t="shared" si="0"/>
        <v>role_fill_start_date timestamp</v>
      </c>
      <c r="C38" s="7">
        <f t="shared" si="1"/>
        <v>21</v>
      </c>
      <c r="D38" s="6" t="str">
        <f t="shared" si="2"/>
        <v>role_fill_start_date</v>
      </c>
    </row>
    <row r="39" spans="1:5" x14ac:dyDescent="0.25">
      <c r="A39" s="12" t="s">
        <v>77</v>
      </c>
      <c r="B39" s="7" t="str">
        <f t="shared" si="0"/>
        <v>role_filled_date timestamp</v>
      </c>
      <c r="C39" s="7">
        <f t="shared" si="1"/>
        <v>17</v>
      </c>
      <c r="D39" s="6" t="str">
        <f t="shared" si="2"/>
        <v>role_filled_date</v>
      </c>
    </row>
    <row r="40" spans="1:5" x14ac:dyDescent="0.25">
      <c r="A40" s="12" t="s">
        <v>78</v>
      </c>
      <c r="B40" s="7" t="str">
        <f t="shared" si="0"/>
        <v>role_fulfillment_date timestamp</v>
      </c>
      <c r="C40" s="7">
        <f t="shared" si="1"/>
        <v>22</v>
      </c>
      <c r="D40" s="6" t="str">
        <f t="shared" si="2"/>
        <v>role_fulfillment_date</v>
      </c>
    </row>
    <row r="41" spans="1:5" x14ac:dyDescent="0.25">
      <c r="A41" s="12" t="s">
        <v>79</v>
      </c>
    </row>
    <row r="42" spans="1:5" x14ac:dyDescent="0.25">
      <c r="A42" s="12" t="s">
        <v>80</v>
      </c>
    </row>
    <row r="43" spans="1:5" x14ac:dyDescent="0.25">
      <c r="A43" s="12" t="s">
        <v>81</v>
      </c>
    </row>
    <row r="44" spans="1:5" x14ac:dyDescent="0.25">
      <c r="A44" s="12" t="s">
        <v>82</v>
      </c>
    </row>
    <row r="45" spans="1:5" x14ac:dyDescent="0.25">
      <c r="A45" s="12" t="s">
        <v>83</v>
      </c>
    </row>
    <row r="46" spans="1:5" x14ac:dyDescent="0.25">
      <c r="A46" s="12" t="s">
        <v>84</v>
      </c>
    </row>
    <row r="47" spans="1:5" x14ac:dyDescent="0.25">
      <c r="A47" s="12" t="s">
        <v>85</v>
      </c>
    </row>
    <row r="48" spans="1:5" x14ac:dyDescent="0.25">
      <c r="A48" s="12" t="s">
        <v>86</v>
      </c>
    </row>
    <row r="49" spans="1:1" x14ac:dyDescent="0.25">
      <c r="A49" s="12" t="s">
        <v>87</v>
      </c>
    </row>
    <row r="50" spans="1:1" x14ac:dyDescent="0.25">
      <c r="A50" s="12" t="s">
        <v>88</v>
      </c>
    </row>
    <row r="51" spans="1:1" x14ac:dyDescent="0.25">
      <c r="A51" s="12" t="s">
        <v>89</v>
      </c>
    </row>
    <row r="52" spans="1:1" x14ac:dyDescent="0.25">
      <c r="A52" s="12" t="s">
        <v>90</v>
      </c>
    </row>
    <row r="53" spans="1:1" x14ac:dyDescent="0.25">
      <c r="A53" s="12" t="s">
        <v>91</v>
      </c>
    </row>
    <row r="54" spans="1:1" x14ac:dyDescent="0.25">
      <c r="A54" s="12" t="s">
        <v>92</v>
      </c>
    </row>
    <row r="55" spans="1:1" x14ac:dyDescent="0.25">
      <c r="A55" s="12" t="s">
        <v>93</v>
      </c>
    </row>
    <row r="56" spans="1:1" x14ac:dyDescent="0.25">
      <c r="A56" s="12" t="s">
        <v>94</v>
      </c>
    </row>
    <row r="57" spans="1:1" x14ac:dyDescent="0.25">
      <c r="A57" s="12" t="s">
        <v>95</v>
      </c>
    </row>
    <row r="58" spans="1:1" x14ac:dyDescent="0.25">
      <c r="A58" s="12" t="s">
        <v>96</v>
      </c>
    </row>
    <row r="59" spans="1:1" x14ac:dyDescent="0.25">
      <c r="A59" s="12" t="s">
        <v>97</v>
      </c>
    </row>
    <row r="60" spans="1:1" x14ac:dyDescent="0.25">
      <c r="A60" s="12" t="s">
        <v>98</v>
      </c>
    </row>
    <row r="61" spans="1:1" x14ac:dyDescent="0.25">
      <c r="A61" s="12" t="s">
        <v>99</v>
      </c>
    </row>
    <row r="62" spans="1:1" x14ac:dyDescent="0.25">
      <c r="A62" s="12" t="s">
        <v>100</v>
      </c>
    </row>
    <row r="63" spans="1:1" x14ac:dyDescent="0.25">
      <c r="A63" s="12" t="s">
        <v>101</v>
      </c>
    </row>
    <row r="64" spans="1:1" x14ac:dyDescent="0.25">
      <c r="A64" s="12" t="s">
        <v>102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Tablelist</vt:lpstr>
      <vt:lpstr>demand</vt:lpstr>
      <vt:lpstr>supply</vt:lpstr>
      <vt:lpstr>Help：Trim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Nan A.</dc:creator>
  <cp:lastModifiedBy>You, Andi</cp:lastModifiedBy>
  <dcterms:created xsi:type="dcterms:W3CDTF">2019-05-07T15:17:28Z</dcterms:created>
  <dcterms:modified xsi:type="dcterms:W3CDTF">2019-12-26T10:13:12Z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andi.you@accenture.com</vt:lpwstr>
  </property>
  <property fmtid="{D5CDD505-2E9C-101B-9397-08002B2CF9AE}" pid="5" name="MSIP_Label_1bc0f418-96a4-4caf-9d7c-ccc5ec7f9d91_SetDate">
    <vt:lpwstr>2019-05-13T03:50:42.3553715Z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  <property fmtid="{D5CDD505-2E9C-101B-9397-08002B2CF9AE}" pid="10" name="WorkbookGuid">
    <vt:lpwstr>15a234db-305c-4fb4-af1c-4ea492360ab2</vt:lpwstr>
  </property>
</Properties>
</file>